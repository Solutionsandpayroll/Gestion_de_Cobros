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cristian\Documents\S&amp;P\Documentos automatizacion\TESORERIA\Automatizacion cuentas por cobrar\"/>
    </mc:Choice>
  </mc:AlternateContent>
  <xr:revisionPtr revIDLastSave="0" documentId="13_ncr:1_{17726D8E-DD30-4394-AAA1-2B0050EAA0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zo" sheetId="1" r:id="rId1"/>
    <sheet name="Hoja1" sheetId="2" r:id="rId2"/>
  </sheets>
  <definedNames>
    <definedName name="_xlnm._FilterDatabase" localSheetId="1" hidden="1">Hoja1!$A$1:$Q$31</definedName>
    <definedName name="_xlnm._FilterDatabase" localSheetId="0" hidden="1">Marzo!$A$1:$Q$1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F27" i="1"/>
  <c r="C191" i="1" l="1"/>
  <c r="C19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59" i="1"/>
  <c r="C158" i="1"/>
  <c r="C157" i="1"/>
  <c r="C156" i="1"/>
  <c r="C155" i="1"/>
  <c r="C154" i="1"/>
  <c r="C141" i="1"/>
  <c r="C140" i="1"/>
  <c r="C139" i="1"/>
  <c r="C136" i="1"/>
  <c r="C128" i="1"/>
  <c r="C127" i="1"/>
  <c r="C126" i="1"/>
  <c r="C125" i="1"/>
  <c r="C124" i="1"/>
  <c r="C119" i="1"/>
  <c r="C118" i="1"/>
  <c r="C117" i="1"/>
  <c r="C112" i="1"/>
  <c r="C111" i="1"/>
  <c r="C110" i="1"/>
  <c r="C109" i="1"/>
  <c r="C108" i="1"/>
  <c r="C103" i="1"/>
  <c r="C102" i="1"/>
  <c r="C101" i="1"/>
  <c r="C100" i="1"/>
  <c r="C99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77" i="1"/>
  <c r="C76" i="1"/>
  <c r="C75" i="1"/>
  <c r="C74" i="1"/>
  <c r="C73" i="1"/>
  <c r="C72" i="1"/>
  <c r="C71" i="1"/>
  <c r="C70" i="1"/>
  <c r="C69" i="1"/>
  <c r="C68" i="1"/>
  <c r="C67" i="1"/>
  <c r="C48" i="1"/>
  <c r="C38" i="1"/>
  <c r="C37" i="1"/>
  <c r="C27" i="1"/>
  <c r="C26" i="1"/>
  <c r="C25" i="1"/>
  <c r="C23" i="1"/>
  <c r="C19" i="1"/>
  <c r="C18" i="1"/>
  <c r="C17" i="1"/>
  <c r="C16" i="1"/>
  <c r="C15" i="1"/>
  <c r="C14" i="1"/>
  <c r="C13" i="1"/>
  <c r="K194" i="1" l="1"/>
  <c r="J194" i="1"/>
  <c r="I194" i="1"/>
  <c r="H194" i="1"/>
  <c r="G194" i="1"/>
  <c r="K189" i="1"/>
  <c r="J189" i="1"/>
  <c r="I189" i="1"/>
  <c r="H189" i="1"/>
  <c r="G189" i="1"/>
  <c r="K165" i="1"/>
  <c r="J165" i="1"/>
  <c r="I165" i="1"/>
  <c r="H165" i="1"/>
  <c r="G165" i="1"/>
  <c r="K153" i="1"/>
  <c r="J153" i="1"/>
  <c r="I153" i="1"/>
  <c r="H153" i="1"/>
  <c r="G153" i="1"/>
  <c r="K149" i="1"/>
  <c r="J149" i="1"/>
  <c r="I149" i="1"/>
  <c r="H149" i="1"/>
  <c r="G149" i="1"/>
  <c r="K146" i="1"/>
  <c r="J146" i="1"/>
  <c r="I146" i="1"/>
  <c r="H146" i="1"/>
  <c r="G146" i="1"/>
  <c r="K144" i="1"/>
  <c r="J144" i="1"/>
  <c r="I144" i="1"/>
  <c r="H144" i="1"/>
  <c r="G144" i="1"/>
  <c r="K138" i="1"/>
  <c r="J138" i="1"/>
  <c r="I138" i="1"/>
  <c r="H138" i="1"/>
  <c r="G138" i="1"/>
  <c r="K135" i="1"/>
  <c r="J135" i="1"/>
  <c r="I135" i="1"/>
  <c r="H135" i="1"/>
  <c r="G135" i="1"/>
  <c r="C5" i="1"/>
  <c r="C3" i="1"/>
  <c r="F131" i="1"/>
  <c r="F130" i="1"/>
  <c r="F129" i="1"/>
  <c r="F128" i="1"/>
  <c r="F127" i="1"/>
  <c r="F126" i="1"/>
  <c r="F125" i="1"/>
  <c r="F124" i="1"/>
  <c r="F122" i="1"/>
  <c r="F121" i="1"/>
  <c r="F120" i="1"/>
  <c r="F119" i="1"/>
  <c r="F118" i="1"/>
  <c r="F117" i="1"/>
  <c r="F115" i="1"/>
  <c r="F114" i="1"/>
  <c r="F113" i="1"/>
  <c r="F112" i="1"/>
  <c r="F111" i="1"/>
  <c r="F110" i="1"/>
  <c r="F109" i="1"/>
  <c r="F108" i="1"/>
  <c r="F106" i="1"/>
  <c r="F105" i="1"/>
  <c r="F104" i="1"/>
  <c r="F103" i="1"/>
  <c r="F102" i="1"/>
  <c r="F101" i="1"/>
  <c r="F100" i="1"/>
  <c r="F99" i="1"/>
  <c r="K132" i="1"/>
  <c r="J132" i="1"/>
  <c r="I132" i="1"/>
  <c r="H132" i="1"/>
  <c r="G132" i="1"/>
  <c r="K123" i="1"/>
  <c r="J123" i="1"/>
  <c r="I123" i="1"/>
  <c r="H123" i="1"/>
  <c r="G123" i="1"/>
  <c r="K116" i="1"/>
  <c r="J116" i="1"/>
  <c r="I116" i="1"/>
  <c r="H116" i="1"/>
  <c r="G116" i="1"/>
  <c r="K107" i="1"/>
  <c r="J107" i="1"/>
  <c r="I107" i="1"/>
  <c r="H107" i="1"/>
  <c r="G107" i="1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K81" i="1"/>
  <c r="K98" i="1" s="1"/>
  <c r="J81" i="1"/>
  <c r="J98" i="1" s="1"/>
  <c r="I81" i="1"/>
  <c r="I98" i="1" s="1"/>
  <c r="H81" i="1"/>
  <c r="G81" i="1"/>
  <c r="G98" i="1" s="1"/>
  <c r="K66" i="1"/>
  <c r="J66" i="1"/>
  <c r="I66" i="1"/>
  <c r="H66" i="1"/>
  <c r="G66" i="1"/>
  <c r="K63" i="1"/>
  <c r="J63" i="1"/>
  <c r="I63" i="1"/>
  <c r="H63" i="1"/>
  <c r="G63" i="1"/>
  <c r="K61" i="1"/>
  <c r="J61" i="1"/>
  <c r="I61" i="1"/>
  <c r="H61" i="1"/>
  <c r="G61" i="1"/>
  <c r="K59" i="1"/>
  <c r="J59" i="1"/>
  <c r="I59" i="1"/>
  <c r="H59" i="1"/>
  <c r="G59" i="1"/>
  <c r="K56" i="1"/>
  <c r="J56" i="1"/>
  <c r="I56" i="1"/>
  <c r="H56" i="1"/>
  <c r="G56" i="1"/>
  <c r="K54" i="1"/>
  <c r="J54" i="1"/>
  <c r="I54" i="1"/>
  <c r="H54" i="1"/>
  <c r="G54" i="1"/>
  <c r="K51" i="1"/>
  <c r="J51" i="1"/>
  <c r="I51" i="1"/>
  <c r="H51" i="1"/>
  <c r="G51" i="1"/>
  <c r="K47" i="1"/>
  <c r="J47" i="1"/>
  <c r="I47" i="1"/>
  <c r="H47" i="1"/>
  <c r="G47" i="1"/>
  <c r="K36" i="1"/>
  <c r="J36" i="1"/>
  <c r="I36" i="1"/>
  <c r="H36" i="1"/>
  <c r="G36" i="1"/>
  <c r="K33" i="1"/>
  <c r="J33" i="1"/>
  <c r="I33" i="1"/>
  <c r="H33" i="1"/>
  <c r="G33" i="1"/>
  <c r="K30" i="1"/>
  <c r="J30" i="1"/>
  <c r="I30" i="1"/>
  <c r="H30" i="1"/>
  <c r="G30" i="1"/>
  <c r="K28" i="1"/>
  <c r="J28" i="1"/>
  <c r="I28" i="1"/>
  <c r="H28" i="1"/>
  <c r="G28" i="1"/>
  <c r="K22" i="1"/>
  <c r="J22" i="1"/>
  <c r="I22" i="1"/>
  <c r="H22" i="1"/>
  <c r="G22" i="1"/>
  <c r="K20" i="1"/>
  <c r="J20" i="1"/>
  <c r="I20" i="1"/>
  <c r="H20" i="1"/>
  <c r="G20" i="1"/>
  <c r="K12" i="1"/>
  <c r="J12" i="1"/>
  <c r="I12" i="1"/>
  <c r="H12" i="1"/>
  <c r="G12" i="1"/>
  <c r="K10" i="1"/>
  <c r="J10" i="1"/>
  <c r="I10" i="1"/>
  <c r="H10" i="1"/>
  <c r="G10" i="1"/>
  <c r="K8" i="1"/>
  <c r="J8" i="1"/>
  <c r="I8" i="1"/>
  <c r="H8" i="1"/>
  <c r="G8" i="1"/>
  <c r="K6" i="1"/>
  <c r="J6" i="1"/>
  <c r="I6" i="1"/>
  <c r="H6" i="1"/>
  <c r="G6" i="1"/>
  <c r="F193" i="1"/>
  <c r="F192" i="1"/>
  <c r="F191" i="1"/>
  <c r="F190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4" i="1"/>
  <c r="F163" i="1"/>
  <c r="F162" i="1"/>
  <c r="F161" i="1"/>
  <c r="F160" i="1"/>
  <c r="F159" i="1"/>
  <c r="F158" i="1"/>
  <c r="F157" i="1"/>
  <c r="F156" i="1"/>
  <c r="F155" i="1"/>
  <c r="F154" i="1"/>
  <c r="F152" i="1"/>
  <c r="F151" i="1"/>
  <c r="F150" i="1"/>
  <c r="F148" i="1"/>
  <c r="F147" i="1"/>
  <c r="F145" i="1"/>
  <c r="F146" i="1" s="1"/>
  <c r="F143" i="1"/>
  <c r="F142" i="1"/>
  <c r="F141" i="1"/>
  <c r="F140" i="1"/>
  <c r="F139" i="1"/>
  <c r="F137" i="1"/>
  <c r="F136" i="1"/>
  <c r="F134" i="1"/>
  <c r="F133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5" i="1"/>
  <c r="F64" i="1"/>
  <c r="F62" i="1"/>
  <c r="F63" i="1" s="1"/>
  <c r="F60" i="1"/>
  <c r="F61" i="1" s="1"/>
  <c r="F58" i="1"/>
  <c r="F57" i="1"/>
  <c r="F55" i="1"/>
  <c r="F53" i="1"/>
  <c r="F52" i="1"/>
  <c r="F50" i="1"/>
  <c r="F49" i="1"/>
  <c r="F48" i="1"/>
  <c r="F46" i="1"/>
  <c r="F45" i="1"/>
  <c r="F44" i="1"/>
  <c r="F43" i="1"/>
  <c r="F42" i="1"/>
  <c r="F41" i="1"/>
  <c r="F40" i="1"/>
  <c r="F39" i="1"/>
  <c r="F38" i="1"/>
  <c r="F37" i="1"/>
  <c r="F35" i="1"/>
  <c r="F34" i="1"/>
  <c r="F32" i="1"/>
  <c r="F31" i="1"/>
  <c r="F29" i="1"/>
  <c r="F30" i="1" s="1"/>
  <c r="F26" i="1"/>
  <c r="F25" i="1"/>
  <c r="F24" i="1"/>
  <c r="F23" i="1"/>
  <c r="F21" i="1"/>
  <c r="F22" i="1" s="1"/>
  <c r="F19" i="1"/>
  <c r="F18" i="1"/>
  <c r="F17" i="1"/>
  <c r="F16" i="1"/>
  <c r="F15" i="1"/>
  <c r="F14" i="1"/>
  <c r="F13" i="1"/>
  <c r="F11" i="1"/>
  <c r="F9" i="1"/>
  <c r="F10" i="1" s="1"/>
  <c r="F7" i="1"/>
  <c r="F5" i="1"/>
  <c r="F4" i="1"/>
  <c r="F3" i="1"/>
  <c r="F2" i="1"/>
  <c r="F47" i="1" l="1"/>
  <c r="H98" i="1"/>
  <c r="H195" i="1" s="1"/>
  <c r="G202" i="1"/>
  <c r="G205" i="1"/>
  <c r="G196" i="1"/>
  <c r="H196" i="1"/>
  <c r="I196" i="1"/>
  <c r="J196" i="1"/>
  <c r="K196" i="1"/>
  <c r="G204" i="1"/>
  <c r="K195" i="1"/>
  <c r="G195" i="1"/>
  <c r="I195" i="1"/>
  <c r="F189" i="1"/>
  <c r="J195" i="1"/>
  <c r="F81" i="1"/>
  <c r="F149" i="1"/>
  <c r="F56" i="1"/>
  <c r="F153" i="1"/>
  <c r="F165" i="1"/>
  <c r="F138" i="1"/>
  <c r="F144" i="1"/>
  <c r="F194" i="1"/>
  <c r="F135" i="1"/>
  <c r="F132" i="1"/>
  <c r="F20" i="1"/>
  <c r="F36" i="1"/>
  <c r="F123" i="1"/>
  <c r="F33" i="1"/>
  <c r="F107" i="1"/>
  <c r="F116" i="1"/>
  <c r="F59" i="1"/>
  <c r="F54" i="1"/>
  <c r="F66" i="1"/>
  <c r="F28" i="1"/>
  <c r="F8" i="1"/>
  <c r="F98" i="1"/>
  <c r="F51" i="1"/>
  <c r="F12" i="1"/>
  <c r="F6" i="1"/>
  <c r="G203" i="1" l="1"/>
  <c r="G210" i="1" s="1"/>
  <c r="F196" i="1"/>
  <c r="G197" i="1"/>
  <c r="G198" i="1"/>
  <c r="F195" i="1"/>
  <c r="E198" i="1" l="1"/>
  <c r="G201" i="1"/>
  <c r="G206" i="1" s="1"/>
  <c r="E194" i="1"/>
  <c r="E98" i="1"/>
  <c r="E51" i="1"/>
  <c r="E12" i="1"/>
  <c r="E153" i="1"/>
  <c r="E61" i="1"/>
  <c r="E189" i="1"/>
  <c r="E144" i="1"/>
  <c r="E81" i="1"/>
  <c r="E47" i="1"/>
  <c r="E10" i="1"/>
  <c r="E135" i="1"/>
  <c r="E132" i="1"/>
  <c r="E20" i="1"/>
  <c r="E165" i="1"/>
  <c r="E138" i="1"/>
  <c r="E66" i="1"/>
  <c r="E36" i="1"/>
  <c r="E8" i="1"/>
  <c r="E63" i="1"/>
  <c r="E33" i="1"/>
  <c r="E149" i="1"/>
  <c r="E30" i="1"/>
  <c r="E107" i="1"/>
  <c r="E123" i="1"/>
  <c r="E59" i="1"/>
  <c r="E28" i="1"/>
  <c r="E146" i="1"/>
  <c r="E116" i="1"/>
  <c r="E56" i="1"/>
  <c r="E22" i="1"/>
  <c r="E54" i="1"/>
  <c r="E6" i="1"/>
  <c r="G209" i="1" l="1"/>
  <c r="G211" i="1" s="1"/>
  <c r="E205" i="1"/>
  <c r="E204" i="1"/>
  <c r="E203" i="1"/>
  <c r="E202" i="1"/>
  <c r="E195" i="1"/>
  <c r="E206" i="1" l="1"/>
</calcChain>
</file>

<file path=xl/sharedStrings.xml><?xml version="1.0" encoding="utf-8"?>
<sst xmlns="http://schemas.openxmlformats.org/spreadsheetml/2006/main" count="627" uniqueCount="336">
  <si>
    <t>Cliente</t>
  </si>
  <si>
    <t>Documento</t>
  </si>
  <si>
    <t>Fecha vencimiento</t>
  </si>
  <si>
    <t>Vencido 1 a 30</t>
  </si>
  <si>
    <t>Vencido 31 a 60</t>
  </si>
  <si>
    <t>Vencido 61 a 90</t>
  </si>
  <si>
    <t>Vencido más de 91</t>
  </si>
  <si>
    <t>Saldo por vencer</t>
  </si>
  <si>
    <t>Total cartera</t>
  </si>
  <si>
    <t>ACT&amp;J CONSULTORES ASOCIADOS SAS</t>
  </si>
  <si>
    <t>28/02/2026</t>
  </si>
  <si>
    <t>FV-4-6182</t>
  </si>
  <si>
    <t>04/09/2025</t>
  </si>
  <si>
    <t>FV-4-6598</t>
  </si>
  <si>
    <t>29/01/2026</t>
  </si>
  <si>
    <t>FV-4-6695</t>
  </si>
  <si>
    <t>19/03/2026</t>
  </si>
  <si>
    <t>FV-5-179</t>
  </si>
  <si>
    <t>21/01/2026</t>
  </si>
  <si>
    <t>13/02/2026</t>
  </si>
  <si>
    <t>28/11/2025</t>
  </si>
  <si>
    <t>CLARKE, MODET &amp; CO COLOMBIA LTDA</t>
  </si>
  <si>
    <t>FV-4-6704</t>
  </si>
  <si>
    <t>07/03/2026</t>
  </si>
  <si>
    <t>CLARKET MODET Y CO. PERU SAC</t>
  </si>
  <si>
    <t>FV-4-6616</t>
  </si>
  <si>
    <t>04/02/2026</t>
  </si>
  <si>
    <t>25/03/2026</t>
  </si>
  <si>
    <t>CONSORCIO HL - A&amp;D</t>
  </si>
  <si>
    <t>FV-4-6727</t>
  </si>
  <si>
    <t>13/03/2026</t>
  </si>
  <si>
    <t>29/11/2025</t>
  </si>
  <si>
    <t>CONSORCIO HL-GISAICO</t>
  </si>
  <si>
    <t>FV-4-6668</t>
  </si>
  <si>
    <t>26/02/2026</t>
  </si>
  <si>
    <t>FV-4-6669</t>
  </si>
  <si>
    <t>CONSORCIO SK-HL</t>
  </si>
  <si>
    <t>FV-4-6615</t>
  </si>
  <si>
    <t>FV-4-6659</t>
  </si>
  <si>
    <t>17/02/2026</t>
  </si>
  <si>
    <t>FV-4-6745</t>
  </si>
  <si>
    <t>17/03/2026</t>
  </si>
  <si>
    <t>CORPORACION PUNTO AZUL</t>
  </si>
  <si>
    <t>27/12/2025</t>
  </si>
  <si>
    <t>FV-4-6661</t>
  </si>
  <si>
    <t>26/03/2026</t>
  </si>
  <si>
    <t>DINTERWEB SAS</t>
  </si>
  <si>
    <t>FV-4-5646</t>
  </si>
  <si>
    <t>07/02/2025</t>
  </si>
  <si>
    <t>FV-4-5725</t>
  </si>
  <si>
    <t>11/03/2025</t>
  </si>
  <si>
    <t>FV-4-5805</t>
  </si>
  <si>
    <t>05/04/2025</t>
  </si>
  <si>
    <t>FV-4-5892</t>
  </si>
  <si>
    <t>09/05/2025</t>
  </si>
  <si>
    <t>FV-4-5974</t>
  </si>
  <si>
    <t>07/06/2025</t>
  </si>
  <si>
    <t>FV-4-6061</t>
  </si>
  <si>
    <t>05/07/2025</t>
  </si>
  <si>
    <t>FV-4-6154</t>
  </si>
  <si>
    <t>06/08/2025</t>
  </si>
  <si>
    <t>DISTRITECH LLC</t>
  </si>
  <si>
    <t>FV-4-6631</t>
  </si>
  <si>
    <t>22/02/2026</t>
  </si>
  <si>
    <t>DREAM TYME RESORTS S.A.S.</t>
  </si>
  <si>
    <t>FV-4-6437</t>
  </si>
  <si>
    <t>11/12/2025</t>
  </si>
  <si>
    <t>FV-4-6536</t>
  </si>
  <si>
    <t>14/01/2026</t>
  </si>
  <si>
    <t>FV-5-97</t>
  </si>
  <si>
    <t>07/11/2025</t>
  </si>
  <si>
    <t>FV-5-127</t>
  </si>
  <si>
    <t>FV-5-130</t>
  </si>
  <si>
    <t>10/12/2025</t>
  </si>
  <si>
    <t>ECOHL SAS</t>
  </si>
  <si>
    <t>FV-4-6509</t>
  </si>
  <si>
    <t>24/12/2025</t>
  </si>
  <si>
    <t>FV-4-6510</t>
  </si>
  <si>
    <t>FV-4-6511</t>
  </si>
  <si>
    <t>FV-4-6551</t>
  </si>
  <si>
    <t>01/01/2026</t>
  </si>
  <si>
    <t>FV-4-6552</t>
  </si>
  <si>
    <t>FV-4-6553</t>
  </si>
  <si>
    <t>FV-4-6690</t>
  </si>
  <si>
    <t>FV-4-6691</t>
  </si>
  <si>
    <t>FV-4-6692</t>
  </si>
  <si>
    <t>FV-4-6723</t>
  </si>
  <si>
    <t>12/03/2026</t>
  </si>
  <si>
    <t>FV-4-6724</t>
  </si>
  <si>
    <t>26/01/2026</t>
  </si>
  <si>
    <t>EVOLUZION TALENT S.A.S</t>
  </si>
  <si>
    <t>FV-4-6742</t>
  </si>
  <si>
    <t>10/03/2026</t>
  </si>
  <si>
    <t>FUNERARIA PARA MASCOTAS FUNERAVET SAS</t>
  </si>
  <si>
    <t>FV-4-6699</t>
  </si>
  <si>
    <t>06/03/2026</t>
  </si>
  <si>
    <t>FV-4-6743</t>
  </si>
  <si>
    <t>14/03/2026</t>
  </si>
  <si>
    <t>GLOBAL CS COLOMBIA SAS</t>
  </si>
  <si>
    <t>FV-4-6696</t>
  </si>
  <si>
    <t>27/02/2026</t>
  </si>
  <si>
    <t>FV-5-235</t>
  </si>
  <si>
    <t>03/04/2026</t>
  </si>
  <si>
    <t>GLOBAL PROJECTS SERVICES AG</t>
  </si>
  <si>
    <t>23/11/2025</t>
  </si>
  <si>
    <t>FV-4-6403</t>
  </si>
  <si>
    <t>30/12/2025</t>
  </si>
  <si>
    <t>FV-4-6505</t>
  </si>
  <si>
    <t>01/02/2026</t>
  </si>
  <si>
    <t>FV-4-6597</t>
  </si>
  <si>
    <t>FV-4-6663</t>
  </si>
  <si>
    <t>10/04/2026</t>
  </si>
  <si>
    <t>FV-4-6694</t>
  </si>
  <si>
    <t>17/04/2026</t>
  </si>
  <si>
    <t>FV-5-85</t>
  </si>
  <si>
    <t>14/12/2025</t>
  </si>
  <si>
    <t>FV-5-123</t>
  </si>
  <si>
    <t>23/01/2026</t>
  </si>
  <si>
    <t>FV-5-158</t>
  </si>
  <si>
    <t>21/02/2026</t>
  </si>
  <si>
    <t>FV-5-198</t>
  </si>
  <si>
    <t>29/03/2026</t>
  </si>
  <si>
    <t>FV-5-221</t>
  </si>
  <si>
    <t>H L GESTIONES Y CO SA</t>
  </si>
  <si>
    <t>FV-4-6395</t>
  </si>
  <si>
    <t>FV-4-6572</t>
  </si>
  <si>
    <t>06/01/2026</t>
  </si>
  <si>
    <t>FV-4-6718</t>
  </si>
  <si>
    <t>HL INFRAESTRUCTURAS SAS</t>
  </si>
  <si>
    <t>FV-4-6507</t>
  </si>
  <si>
    <t>FV-4-6512</t>
  </si>
  <si>
    <t>FV-4-6513</t>
  </si>
  <si>
    <t>FV-4-6514</t>
  </si>
  <si>
    <t>FV-4-6515</t>
  </si>
  <si>
    <t>FV-4-6519</t>
  </si>
  <si>
    <t>26/12/2025</t>
  </si>
  <si>
    <t>FV-4-6530</t>
  </si>
  <si>
    <t>FV-4-6544</t>
  </si>
  <si>
    <t>FV-4-6546</t>
  </si>
  <si>
    <t>FV-4-6547</t>
  </si>
  <si>
    <t>FV-4-6549</t>
  </si>
  <si>
    <t>FV-4-6550</t>
  </si>
  <si>
    <t>FV-4-6562</t>
  </si>
  <si>
    <t>02/01/2026</t>
  </si>
  <si>
    <t>FV-4-6563</t>
  </si>
  <si>
    <t>03/01/2026</t>
  </si>
  <si>
    <t>FV-4-6675</t>
  </si>
  <si>
    <t>FV-4-6676</t>
  </si>
  <si>
    <t>FV-4-6677</t>
  </si>
  <si>
    <t>FV-4-6693</t>
  </si>
  <si>
    <t>FV-4-6725</t>
  </si>
  <si>
    <t>FV-4-6726</t>
  </si>
  <si>
    <t>FV-4-6747</t>
  </si>
  <si>
    <t>FV-4-6748</t>
  </si>
  <si>
    <t>20/03/2026</t>
  </si>
  <si>
    <t>FV-4-6749</t>
  </si>
  <si>
    <t xml:space="preserve">HL INGENIEROS SA </t>
  </si>
  <si>
    <t>FV-4-6441</t>
  </si>
  <si>
    <t>27/11/2025</t>
  </si>
  <si>
    <t>FV-4-6531</t>
  </si>
  <si>
    <t>FV-4-6548</t>
  </si>
  <si>
    <t>FV-4-6678</t>
  </si>
  <si>
    <t>LIVE SYSTEMS TECHNOLOGY SA</t>
  </si>
  <si>
    <t>FV-4-6626</t>
  </si>
  <si>
    <t>FV-4-6712</t>
  </si>
  <si>
    <t>MONICA LONDOÑO BRIGARD</t>
  </si>
  <si>
    <t>FV-4-6573</t>
  </si>
  <si>
    <t>28/01/2026</t>
  </si>
  <si>
    <t>OFICINA TECNICA DE COOPERACION EMBAJADA DE ESPAÑA</t>
  </si>
  <si>
    <t>FV-4-6720</t>
  </si>
  <si>
    <t>FV-5-233</t>
  </si>
  <si>
    <t>ORTHO CLINICAL DIAGNOSTICS  COLOMBIA</t>
  </si>
  <si>
    <t>27/03/2026</t>
  </si>
  <si>
    <t>FV-4-6705</t>
  </si>
  <si>
    <t>21/04/2026</t>
  </si>
  <si>
    <t>20/02/2026</t>
  </si>
  <si>
    <t>PETROBRAS COLOMBIA COMBUSTIBLES SA</t>
  </si>
  <si>
    <t>FV-4-6697</t>
  </si>
  <si>
    <t>PETROBRAS INTERNATIONAL BRASPETRO BV - SUCURSAL COLOMBIA</t>
  </si>
  <si>
    <t>FV-4-6660</t>
  </si>
  <si>
    <t>11/03/2026</t>
  </si>
  <si>
    <t>FV-4-6746</t>
  </si>
  <si>
    <t>PUNTO MEDICAL DISTRIBUCIONES SAS</t>
  </si>
  <si>
    <t>FV-4-2512</t>
  </si>
  <si>
    <t>08/04/2021</t>
  </si>
  <si>
    <t>FV-4-2557</t>
  </si>
  <si>
    <t>06/05/2021</t>
  </si>
  <si>
    <t>FV-4-2597</t>
  </si>
  <si>
    <t>09/06/2021</t>
  </si>
  <si>
    <t>FV-4-2642</t>
  </si>
  <si>
    <t>13/07/2021</t>
  </si>
  <si>
    <t>FV-4-2690</t>
  </si>
  <si>
    <t>06/08/2021</t>
  </si>
  <si>
    <t>FV-4-2741</t>
  </si>
  <si>
    <t>08/09/2021</t>
  </si>
  <si>
    <t>FV-4-2788</t>
  </si>
  <si>
    <t>07/10/2021</t>
  </si>
  <si>
    <t>FV-4-2832</t>
  </si>
  <si>
    <t>05/11/2021</t>
  </si>
  <si>
    <t>FV-4-2880</t>
  </si>
  <si>
    <t>08/12/2021</t>
  </si>
  <si>
    <t>FV-4-2923</t>
  </si>
  <si>
    <t>05/01/2022</t>
  </si>
  <si>
    <t>FV-4-4478</t>
  </si>
  <si>
    <t>13/01/2024</t>
  </si>
  <si>
    <t>FV-4-6633</t>
  </si>
  <si>
    <t>10/02/2026</t>
  </si>
  <si>
    <t>FV-4-6698</t>
  </si>
  <si>
    <t>05/03/2026</t>
  </si>
  <si>
    <t>FV-4-6721</t>
  </si>
  <si>
    <t>REJIMETAL SAS</t>
  </si>
  <si>
    <t>FV-4-5485</t>
  </si>
  <si>
    <t>10/12/2024</t>
  </si>
  <si>
    <t>FV-4-5565</t>
  </si>
  <si>
    <t>02/01/2025</t>
  </si>
  <si>
    <t>FV-4-5642</t>
  </si>
  <si>
    <t>FV-4-5721</t>
  </si>
  <si>
    <t>FV-4-5802</t>
  </si>
  <si>
    <t>FV-4-5888</t>
  </si>
  <si>
    <t>FV-4-5971</t>
  </si>
  <si>
    <t>FV-4-6057</t>
  </si>
  <si>
    <t>FV-4-6150</t>
  </si>
  <si>
    <t>FV-4-6228</t>
  </si>
  <si>
    <t>21/09/2025</t>
  </si>
  <si>
    <t>FV-4-6303</t>
  </si>
  <si>
    <t>23/10/2025</t>
  </si>
  <si>
    <t>FV-4-6388</t>
  </si>
  <si>
    <t>22/11/2025</t>
  </si>
  <si>
    <t>FV-4-6465</t>
  </si>
  <si>
    <t>21/12/2025</t>
  </si>
  <si>
    <t>FV-4-6566</t>
  </si>
  <si>
    <t>FV-4-6625</t>
  </si>
  <si>
    <t>FV-4-6711</t>
  </si>
  <si>
    <t>Safeguard World International Limited</t>
  </si>
  <si>
    <t>FV-4-6246</t>
  </si>
  <si>
    <t>18/10/2025</t>
  </si>
  <si>
    <t>FV-4-6247</t>
  </si>
  <si>
    <t>27/10/2025</t>
  </si>
  <si>
    <t>FV-4-6248</t>
  </si>
  <si>
    <t>FV-4-6275</t>
  </si>
  <si>
    <t>10/11/2025</t>
  </si>
  <si>
    <t>FV-4-6311</t>
  </si>
  <si>
    <t>FV-4-6312</t>
  </si>
  <si>
    <t>FV-4-6313</t>
  </si>
  <si>
    <t>FV-4-6384</t>
  </si>
  <si>
    <t>20/12/2025</t>
  </si>
  <si>
    <t>FV-4-6385</t>
  </si>
  <si>
    <t>FV-4-6400</t>
  </si>
  <si>
    <t>FV-4-6401</t>
  </si>
  <si>
    <t>FV-4-6433</t>
  </si>
  <si>
    <t>FV-4-6434</t>
  </si>
  <si>
    <t>FV-4-6435</t>
  </si>
  <si>
    <t>FV-4-6439</t>
  </si>
  <si>
    <t>11/01/2026</t>
  </si>
  <si>
    <t>FV-4-6482</t>
  </si>
  <si>
    <t>FV-4-6483</t>
  </si>
  <si>
    <t>FV-4-6484</t>
  </si>
  <si>
    <t>FV-4-6537</t>
  </si>
  <si>
    <t>FV-4-6575</t>
  </si>
  <si>
    <t>FV-4-6576</t>
  </si>
  <si>
    <t>FV-4-6577</t>
  </si>
  <si>
    <t>FV-4-6620</t>
  </si>
  <si>
    <t>22/03/2026</t>
  </si>
  <si>
    <t>FV-4-6621</t>
  </si>
  <si>
    <t>FV-4-6622</t>
  </si>
  <si>
    <t>FV-4-6636</t>
  </si>
  <si>
    <t>FV-4-6707</t>
  </si>
  <si>
    <t>24/04/2026</t>
  </si>
  <si>
    <t>FV-4-6708</t>
  </si>
  <si>
    <t>FV-4-6709</t>
  </si>
  <si>
    <t>FV-4-6710</t>
  </si>
  <si>
    <t>SINERWARE S. A. S.</t>
  </si>
  <si>
    <t>FV-4-6629</t>
  </si>
  <si>
    <t>FV-4-6716</t>
  </si>
  <si>
    <t>SOLUCIONES AMBIENTALES SOSTENIBLES PUNTO AZUL SAS</t>
  </si>
  <si>
    <t>FV-4-6529</t>
  </si>
  <si>
    <t>FV-4-6662</t>
  </si>
  <si>
    <t>SOLUTIONS &amp; PAYROLL PERU S.A.C</t>
  </si>
  <si>
    <t>FV-4-6420</t>
  </si>
  <si>
    <t>30/11/2025</t>
  </si>
  <si>
    <t>FV-4-6479</t>
  </si>
  <si>
    <t>FV-4-6596</t>
  </si>
  <si>
    <t>FV-4-6643</t>
  </si>
  <si>
    <t>FV-4-6744</t>
  </si>
  <si>
    <t>Días</t>
  </si>
  <si>
    <t>%</t>
  </si>
  <si>
    <t>Total ACT&amp;J CONSULTORES ASOCIADOS SAS</t>
  </si>
  <si>
    <t>Total CLARKE, MODET &amp; CO COLOMBIA LTDA</t>
  </si>
  <si>
    <t>Total CLARKET MODET Y CO. PERU SAC</t>
  </si>
  <si>
    <t>Total DINTERWEB SAS</t>
  </si>
  <si>
    <t>Total CORPORACION PUNTO AZUL</t>
  </si>
  <si>
    <t>Total DISTRITECH LLC</t>
  </si>
  <si>
    <t>Total DREAM TYME RESORTS S.A.S.</t>
  </si>
  <si>
    <t>Total EVOLUZION TALENT S.A.S</t>
  </si>
  <si>
    <t>Total FUNERARIA PARA MASCOTAS FUNERAVET SAS</t>
  </si>
  <si>
    <t>Total GLOBAL CS COLOMBIA SAS</t>
  </si>
  <si>
    <t>Total GLOBAL PROJECTS SERVICES AG</t>
  </si>
  <si>
    <t>Total H L GESTIONES Y CO SA</t>
  </si>
  <si>
    <t>Total LIVE SYSTEMS TECHNOLOGY SA</t>
  </si>
  <si>
    <t>Total MONICA LONDOÑO BRIGARD</t>
  </si>
  <si>
    <t>Total OFICINA TECNICA DE COOPERACION EMBAJADA DE ESPAÑA</t>
  </si>
  <si>
    <t>Total ORTHO CLINICAL DIAGNOSTICS  COLOMBIA</t>
  </si>
  <si>
    <t>Total PETROBRAS COLOMBIA COMBUSTIBLES SA</t>
  </si>
  <si>
    <t>Total PETROBRAS INTERNATIONAL BRASPETRO BV - SUCURSAL COLOMBIA</t>
  </si>
  <si>
    <t>Total PUNTO MEDICAL DISTRIBUCIONES SAS</t>
  </si>
  <si>
    <t>Total REJIMETAL SAS</t>
  </si>
  <si>
    <t>Safeguard World International Limited-Dominicana</t>
  </si>
  <si>
    <t>Total Safeguard World International Limited-Dominicana</t>
  </si>
  <si>
    <t>Safeguard World International Limited-Guatemala</t>
  </si>
  <si>
    <t>Safeguard World International Limited-Panamá</t>
  </si>
  <si>
    <t>Total Safeguard World International Limited-Panamá</t>
  </si>
  <si>
    <t>Safeguard World International Limited-Perú</t>
  </si>
  <si>
    <t>Total Safeguard World International Limited-Perú</t>
  </si>
  <si>
    <t>Total SINERWARE S. A. S.</t>
  </si>
  <si>
    <t>Total SOLUCIONES AMBIENTALES SOSTENIBLES PUNTO AZUL SAS</t>
  </si>
  <si>
    <t>Total SOLUTIONS &amp; PAYROLL PERU S.A.C</t>
  </si>
  <si>
    <t>Total CONSORCIO HL - A&amp;D</t>
  </si>
  <si>
    <t>Total CONSORCIO HL-GISAICO</t>
  </si>
  <si>
    <t>Total CONSORCIO SK-HL</t>
  </si>
  <si>
    <t>Total ECOHL SAS</t>
  </si>
  <si>
    <t>Total HL INFRAESTRUCTURAS SAS</t>
  </si>
  <si>
    <t xml:space="preserve">Total HL INGENIEROS SA </t>
  </si>
  <si>
    <t>Total general</t>
  </si>
  <si>
    <t>Total Safeguard World International Limited-Guatemala</t>
  </si>
  <si>
    <t>Mayor 30 días Carte</t>
  </si>
  <si>
    <t>Mayor 30 días HL</t>
  </si>
  <si>
    <t>Otros cliente</t>
  </si>
  <si>
    <t>PM</t>
  </si>
  <si>
    <t>Rejimetal</t>
  </si>
  <si>
    <t>Dinterweb</t>
  </si>
  <si>
    <t>Sucursales PE</t>
  </si>
  <si>
    <t>Descontado PM-Rejime-Dinter-Sucursa</t>
  </si>
  <si>
    <t>Cartera Grupo HL Marzo</t>
  </si>
  <si>
    <t>Real</t>
  </si>
  <si>
    <t>Excluir</t>
  </si>
  <si>
    <t>Comprobación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</si>
</sst>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d/mm/yyyy"/>
    <numFmt numFmtId="165" formatCode="_-&quot;$&quot;\ * #,##0_-;\-&quot;$&quot;\ * #,##0_-;_-&quot;$&quot;\ 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EE0000"/>
      <name val="Calibri"/>
      <family val="2"/>
    </font>
    <font>
      <b/>
      <sz val="11"/>
      <color rgb="FF0000CC"/>
      <name val="Calibri"/>
      <family val="2"/>
    </font>
    <font>
      <b/>
      <sz val="11"/>
      <color rgb="FF0000CC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1F4F9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49" fontId="2" fillId="3" borderId="0" xfId="0" applyNumberFormat="1" applyFont="1" applyFill="1" applyAlignment="1">
      <alignment horizontal="left" vertical="center"/>
    </xf>
    <xf numFmtId="164" fontId="2" fillId="3" borderId="0" xfId="0" applyNumberFormat="1" applyFont="1" applyFill="1" applyAlignment="1">
      <alignment horizontal="left" vertical="center"/>
    </xf>
    <xf numFmtId="0" fontId="0" fillId="3" borderId="0" xfId="0" applyFill="1"/>
    <xf numFmtId="164" fontId="5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1" applyNumberFormat="1" applyFont="1" applyFill="1" applyAlignment="1">
      <alignment horizontal="left" vertical="center"/>
    </xf>
    <xf numFmtId="0" fontId="4" fillId="0" borderId="0" xfId="0" applyFont="1"/>
    <xf numFmtId="3" fontId="2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3" fontId="1" fillId="0" borderId="0" xfId="1" applyNumberFormat="1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  <xf numFmtId="49" fontId="2" fillId="4" borderId="0" xfId="0" applyNumberFormat="1" applyFont="1" applyFill="1" applyAlignment="1">
      <alignment horizontal="left" vertical="center"/>
    </xf>
    <xf numFmtId="164" fontId="2" fillId="4" borderId="0" xfId="0" applyNumberFormat="1" applyFont="1" applyFill="1" applyAlignment="1">
      <alignment horizontal="left" vertical="center"/>
    </xf>
    <xf numFmtId="3" fontId="2" fillId="4" borderId="0" xfId="0" applyNumberFormat="1" applyFont="1" applyFill="1" applyAlignment="1">
      <alignment vertical="center"/>
    </xf>
    <xf numFmtId="0" fontId="0" fillId="4" borderId="0" xfId="0" applyFill="1"/>
    <xf numFmtId="49" fontId="2" fillId="5" borderId="0" xfId="0" applyNumberFormat="1" applyFont="1" applyFill="1" applyAlignment="1">
      <alignment horizontal="left" vertical="center"/>
    </xf>
    <xf numFmtId="164" fontId="2" fillId="5" borderId="0" xfId="0" applyNumberFormat="1" applyFont="1" applyFill="1" applyAlignment="1">
      <alignment horizontal="left" vertical="center"/>
    </xf>
    <xf numFmtId="3" fontId="2" fillId="5" borderId="0" xfId="0" applyNumberFormat="1" applyFont="1" applyFill="1" applyAlignment="1">
      <alignment vertical="center"/>
    </xf>
    <xf numFmtId="0" fontId="0" fillId="5" borderId="0" xfId="0" applyFill="1"/>
    <xf numFmtId="49" fontId="2" fillId="6" borderId="0" xfId="0" applyNumberFormat="1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3" fontId="2" fillId="6" borderId="0" xfId="0" applyNumberFormat="1" applyFont="1" applyFill="1" applyAlignment="1">
      <alignment vertical="center"/>
    </xf>
    <xf numFmtId="0" fontId="0" fillId="6" borderId="0" xfId="0" applyFill="1"/>
    <xf numFmtId="1" fontId="6" fillId="7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9" fontId="8" fillId="0" borderId="0" xfId="2" applyFont="1" applyAlignment="1">
      <alignment horizontal="center"/>
    </xf>
    <xf numFmtId="165" fontId="7" fillId="0" borderId="0" xfId="1" applyNumberFormat="1" applyFont="1" applyFill="1" applyAlignment="1">
      <alignment horizontal="left" vertical="center"/>
    </xf>
    <xf numFmtId="0" fontId="9" fillId="0" borderId="0" xfId="0" applyFont="1"/>
    <xf numFmtId="165" fontId="9" fillId="0" borderId="0" xfId="0" applyNumberFormat="1" applyFont="1"/>
    <xf numFmtId="10" fontId="1" fillId="0" borderId="0" xfId="2" applyNumberFormat="1" applyFont="1" applyFill="1" applyAlignment="1">
      <alignment vertical="center"/>
    </xf>
    <xf numFmtId="165" fontId="0" fillId="0" borderId="0" xfId="0" applyNumberFormat="1"/>
    <xf numFmtId="0" fontId="0" fillId="0" borderId="0" xfId="0" applyAlignment="1">
      <alignment horizontal="left" indent="1"/>
    </xf>
    <xf numFmtId="0" fontId="10" fillId="7" borderId="0" xfId="0" applyFont="1" applyFill="1"/>
    <xf numFmtId="9" fontId="0" fillId="0" borderId="0" xfId="2" applyFont="1"/>
    <xf numFmtId="165" fontId="0" fillId="3" borderId="0" xfId="0" applyNumberFormat="1" applyFill="1"/>
  </cellXfs>
  <cellStyles count="3">
    <cellStyle name="Moneda" xfId="1" builtinId="4"/>
    <cellStyle name="Normal" xfId="0" builtinId="0"/>
    <cellStyle name="Porcentaje" xfId="2" builtinId="5"/>
  </cellStyles>
  <dxfs count="1">
    <dxf>
      <fill>
        <patternFill patternType="solid">
          <fgColor rgb="FFE6B8B7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211"/>
  <sheetViews>
    <sheetView showGridLines="0" tabSelected="1" workbookViewId="0">
      <pane ySplit="1" topLeftCell="A2" activePane="bottomLeft" state="frozen"/>
      <selection pane="bottomLeft" activeCell="D11" sqref="D11"/>
    </sheetView>
  </sheetViews>
  <sheetFormatPr baseColWidth="10" defaultColWidth="9.109375" defaultRowHeight="14.4" outlineLevelRow="1" x14ac:dyDescent="0.3"/>
  <cols>
    <col min="1" max="1" width="14" bestFit="1" customWidth="1"/>
    <col min="2" max="2" width="17.88671875" bestFit="1" customWidth="1"/>
    <col min="3" max="3" width="4.6640625" bestFit="1" customWidth="1"/>
    <col min="4" max="4" width="65.44140625" customWidth="1"/>
    <col min="5" max="5" width="7.109375" bestFit="1" customWidth="1"/>
    <col min="6" max="11" width="30.6640625" bestFit="1" customWidth="1"/>
  </cols>
  <sheetData>
    <row r="1" spans="1:17" x14ac:dyDescent="0.3">
      <c r="A1" s="1" t="s">
        <v>1</v>
      </c>
      <c r="B1" s="1" t="s">
        <v>2</v>
      </c>
      <c r="C1" s="1" t="s">
        <v>284</v>
      </c>
      <c r="D1" s="1" t="s">
        <v>0</v>
      </c>
      <c r="E1" s="1" t="s">
        <v>285</v>
      </c>
      <c r="F1" s="1" t="s">
        <v>8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7" outlineLevel="1" x14ac:dyDescent="0.3">
      <c r="A2" s="2" t="s">
        <v>11</v>
      </c>
      <c r="B2" s="3" t="s">
        <v>12</v>
      </c>
      <c r="C2" s="27">
        <f ca="1">TODAY()-B2</f>
        <v>195</v>
      </c>
      <c r="D2" s="11" t="s">
        <v>9</v>
      </c>
      <c r="E2" s="11"/>
      <c r="F2" s="11">
        <f>SUM(G2:K2)</f>
        <v>1549380</v>
      </c>
      <c r="G2" s="11">
        <v>0</v>
      </c>
      <c r="H2" s="11">
        <v>0</v>
      </c>
      <c r="I2" s="11">
        <v>0</v>
      </c>
      <c r="J2" s="11">
        <v>1549380</v>
      </c>
      <c r="K2" s="11">
        <v>0</v>
      </c>
    </row>
    <row r="3" spans="1:17" outlineLevel="1" x14ac:dyDescent="0.3">
      <c r="A3" s="2" t="s">
        <v>13</v>
      </c>
      <c r="B3" s="3" t="s">
        <v>14</v>
      </c>
      <c r="C3" s="27">
        <f t="shared" ref="C3:C5" ca="1" si="0">TODAY()-B3</f>
        <v>48</v>
      </c>
      <c r="D3" s="11" t="s">
        <v>9</v>
      </c>
      <c r="E3" s="11"/>
      <c r="F3" s="11">
        <f t="shared" ref="F3:F5" si="1">SUM(G3:K3)</f>
        <v>3831584.61</v>
      </c>
      <c r="G3" s="11">
        <v>0</v>
      </c>
      <c r="H3" s="11">
        <v>3831584.61</v>
      </c>
      <c r="I3" s="11">
        <v>0</v>
      </c>
      <c r="J3" s="11">
        <v>0</v>
      </c>
      <c r="K3" s="11">
        <v>0</v>
      </c>
    </row>
    <row r="4" spans="1:17" outlineLevel="1" x14ac:dyDescent="0.3">
      <c r="A4" s="2" t="s">
        <v>15</v>
      </c>
      <c r="B4" s="3" t="s">
        <v>16</v>
      </c>
      <c r="C4" s="3"/>
      <c r="D4" s="11" t="s">
        <v>9</v>
      </c>
      <c r="E4" s="11"/>
      <c r="F4" s="11">
        <f t="shared" si="1"/>
        <v>1523011.98</v>
      </c>
      <c r="G4" s="11">
        <v>0</v>
      </c>
      <c r="H4" s="11">
        <v>0</v>
      </c>
      <c r="I4" s="11">
        <v>0</v>
      </c>
      <c r="J4" s="11">
        <v>0</v>
      </c>
      <c r="K4" s="11">
        <v>1523011.98</v>
      </c>
    </row>
    <row r="5" spans="1:17" ht="14.25" customHeight="1" outlineLevel="1" x14ac:dyDescent="0.3">
      <c r="A5" s="2" t="s">
        <v>17</v>
      </c>
      <c r="B5" s="3" t="s">
        <v>18</v>
      </c>
      <c r="C5" s="27">
        <f t="shared" ca="1" si="0"/>
        <v>56</v>
      </c>
      <c r="D5" s="11" t="s">
        <v>9</v>
      </c>
      <c r="E5" s="11"/>
      <c r="F5" s="11">
        <f t="shared" si="1"/>
        <v>5280814</v>
      </c>
      <c r="G5" s="11">
        <v>0</v>
      </c>
      <c r="H5" s="11">
        <v>5280814</v>
      </c>
      <c r="I5" s="11">
        <v>0</v>
      </c>
      <c r="J5" s="11">
        <v>0</v>
      </c>
      <c r="K5" s="11">
        <v>0</v>
      </c>
    </row>
    <row r="6" spans="1:17" s="10" customFormat="1" x14ac:dyDescent="0.3">
      <c r="A6" s="7"/>
      <c r="B6" s="8"/>
      <c r="C6" s="8"/>
      <c r="D6" s="12" t="s">
        <v>286</v>
      </c>
      <c r="E6" s="33">
        <f>IF($F$195=0,0,F6/$F$195)</f>
        <v>2.5075894806738427E-2</v>
      </c>
      <c r="F6" s="13">
        <f>SUBTOTAL(9,F2:F5)</f>
        <v>12184790.59</v>
      </c>
      <c r="G6" s="13">
        <f t="shared" ref="G6:K6" si="2">SUBTOTAL(9,G2:G5)</f>
        <v>0</v>
      </c>
      <c r="H6" s="13">
        <f t="shared" si="2"/>
        <v>9112398.6099999994</v>
      </c>
      <c r="I6" s="13">
        <f t="shared" si="2"/>
        <v>0</v>
      </c>
      <c r="J6" s="13">
        <f t="shared" si="2"/>
        <v>1549380</v>
      </c>
      <c r="K6" s="13">
        <f t="shared" si="2"/>
        <v>1523011.98</v>
      </c>
      <c r="L6" s="9"/>
      <c r="M6" s="9"/>
      <c r="N6" s="9"/>
      <c r="O6" s="9"/>
      <c r="P6" s="9"/>
      <c r="Q6" s="9"/>
    </row>
    <row r="7" spans="1:17" outlineLevel="1" x14ac:dyDescent="0.3">
      <c r="A7" s="2" t="s">
        <v>22</v>
      </c>
      <c r="B7" s="3" t="s">
        <v>23</v>
      </c>
      <c r="C7" s="3"/>
      <c r="D7" s="11" t="s">
        <v>21</v>
      </c>
      <c r="E7" s="11"/>
      <c r="F7" s="11">
        <f>SUM(G7:K7)</f>
        <v>2717002.88</v>
      </c>
      <c r="G7" s="11">
        <v>0</v>
      </c>
      <c r="H7" s="11">
        <v>0</v>
      </c>
      <c r="I7" s="11">
        <v>0</v>
      </c>
      <c r="J7" s="11">
        <v>0</v>
      </c>
      <c r="K7" s="11">
        <v>2717002.88</v>
      </c>
    </row>
    <row r="8" spans="1:17" s="10" customFormat="1" x14ac:dyDescent="0.3">
      <c r="A8" s="7"/>
      <c r="B8" s="8"/>
      <c r="C8" s="8"/>
      <c r="D8" s="12" t="s">
        <v>287</v>
      </c>
      <c r="E8" s="33">
        <f>IF($F$195=0,0,F8/$F$195)</f>
        <v>5.59150179112642E-3</v>
      </c>
      <c r="F8" s="13">
        <f t="shared" ref="F8:K8" si="3">SUBTOTAL(9,F7:F7)</f>
        <v>2717002.88</v>
      </c>
      <c r="G8" s="13">
        <f t="shared" si="3"/>
        <v>0</v>
      </c>
      <c r="H8" s="13">
        <f t="shared" si="3"/>
        <v>0</v>
      </c>
      <c r="I8" s="13">
        <f t="shared" si="3"/>
        <v>0</v>
      </c>
      <c r="J8" s="13">
        <f t="shared" si="3"/>
        <v>0</v>
      </c>
      <c r="K8" s="13">
        <f t="shared" si="3"/>
        <v>2717002.88</v>
      </c>
      <c r="L8" s="9"/>
      <c r="M8" s="9"/>
      <c r="N8" s="9"/>
      <c r="O8" s="9"/>
      <c r="P8" s="9"/>
      <c r="Q8" s="9"/>
    </row>
    <row r="9" spans="1:17" outlineLevel="1" x14ac:dyDescent="0.3">
      <c r="A9" s="2" t="s">
        <v>25</v>
      </c>
      <c r="B9" s="3" t="s">
        <v>26</v>
      </c>
      <c r="C9" s="3"/>
      <c r="D9" s="11" t="s">
        <v>24</v>
      </c>
      <c r="E9" s="11"/>
      <c r="F9" s="11">
        <f>SUM(G9:K9)</f>
        <v>1559949.75</v>
      </c>
      <c r="G9" s="11">
        <v>1559949.75</v>
      </c>
      <c r="H9" s="11">
        <v>0</v>
      </c>
      <c r="I9" s="11">
        <v>0</v>
      </c>
      <c r="J9" s="11">
        <v>0</v>
      </c>
      <c r="K9" s="11">
        <v>0</v>
      </c>
    </row>
    <row r="10" spans="1:17" s="10" customFormat="1" x14ac:dyDescent="0.3">
      <c r="A10" s="7"/>
      <c r="B10" s="8"/>
      <c r="C10" s="8"/>
      <c r="D10" s="12" t="s">
        <v>288</v>
      </c>
      <c r="E10" s="33">
        <f>IF($F$195=0,0,F10/$F$195)</f>
        <v>3.2103248345442354E-3</v>
      </c>
      <c r="F10" s="13">
        <f>SUBTOTAL(9,F9)</f>
        <v>1559949.75</v>
      </c>
      <c r="G10" s="13">
        <f t="shared" ref="G10:K10" si="4">SUBTOTAL(9,G9)</f>
        <v>1559949.75</v>
      </c>
      <c r="H10" s="13">
        <f t="shared" si="4"/>
        <v>0</v>
      </c>
      <c r="I10" s="13">
        <f t="shared" si="4"/>
        <v>0</v>
      </c>
      <c r="J10" s="13">
        <f t="shared" si="4"/>
        <v>0</v>
      </c>
      <c r="K10" s="13">
        <f t="shared" si="4"/>
        <v>0</v>
      </c>
      <c r="L10" s="9"/>
      <c r="M10" s="9"/>
      <c r="N10" s="9"/>
      <c r="O10" s="9"/>
      <c r="P10" s="9"/>
      <c r="Q10" s="9"/>
    </row>
    <row r="11" spans="1:17" outlineLevel="1" x14ac:dyDescent="0.3">
      <c r="A11" s="2" t="s">
        <v>44</v>
      </c>
      <c r="B11" s="3" t="s">
        <v>45</v>
      </c>
      <c r="C11" s="3"/>
      <c r="D11" s="11" t="s">
        <v>42</v>
      </c>
      <c r="E11" s="11"/>
      <c r="F11" s="11">
        <f t="shared" ref="F11" si="5">SUM(G11:K11)</f>
        <v>2015276.25</v>
      </c>
      <c r="G11" s="11">
        <v>0</v>
      </c>
      <c r="H11" s="11">
        <v>0</v>
      </c>
      <c r="I11" s="11">
        <v>0</v>
      </c>
      <c r="J11" s="11">
        <v>0</v>
      </c>
      <c r="K11" s="11">
        <v>2015276.25</v>
      </c>
    </row>
    <row r="12" spans="1:17" s="10" customFormat="1" x14ac:dyDescent="0.3">
      <c r="A12" s="7"/>
      <c r="B12" s="8"/>
      <c r="C12" s="8"/>
      <c r="D12" s="12" t="s">
        <v>290</v>
      </c>
      <c r="E12" s="33">
        <f>IF($F$195=0,0,F12/$F$195)</f>
        <v>4.1473716661976946E-3</v>
      </c>
      <c r="F12" s="13">
        <f t="shared" ref="F12:K12" si="6">SUBTOTAL(9,F11:F11)</f>
        <v>2015276.25</v>
      </c>
      <c r="G12" s="13">
        <f t="shared" si="6"/>
        <v>0</v>
      </c>
      <c r="H12" s="13">
        <f t="shared" si="6"/>
        <v>0</v>
      </c>
      <c r="I12" s="13">
        <f t="shared" si="6"/>
        <v>0</v>
      </c>
      <c r="J12" s="13">
        <f t="shared" si="6"/>
        <v>0</v>
      </c>
      <c r="K12" s="13">
        <f t="shared" si="6"/>
        <v>2015276.25</v>
      </c>
      <c r="L12" s="9"/>
      <c r="M12" s="9"/>
      <c r="N12" s="9"/>
      <c r="O12" s="9"/>
      <c r="P12" s="9"/>
      <c r="Q12" s="9"/>
    </row>
    <row r="13" spans="1:17" outlineLevel="1" x14ac:dyDescent="0.3">
      <c r="A13" s="2" t="s">
        <v>47</v>
      </c>
      <c r="B13" s="3" t="s">
        <v>48</v>
      </c>
      <c r="C13" s="27">
        <f t="shared" ref="C13:C19" ca="1" si="7">TODAY()-B13</f>
        <v>404</v>
      </c>
      <c r="D13" s="11" t="s">
        <v>46</v>
      </c>
      <c r="E13" s="11"/>
      <c r="F13" s="11">
        <f t="shared" ref="F13:F19" si="8">SUM(G13:K13)</f>
        <v>1254725.55</v>
      </c>
      <c r="G13" s="11">
        <v>0</v>
      </c>
      <c r="H13" s="11">
        <v>0</v>
      </c>
      <c r="I13" s="11">
        <v>0</v>
      </c>
      <c r="J13" s="11">
        <v>1254725.55</v>
      </c>
      <c r="K13" s="11">
        <v>0</v>
      </c>
    </row>
    <row r="14" spans="1:17" outlineLevel="1" x14ac:dyDescent="0.3">
      <c r="A14" s="2" t="s">
        <v>49</v>
      </c>
      <c r="B14" s="3" t="s">
        <v>50</v>
      </c>
      <c r="C14" s="27">
        <f t="shared" ca="1" si="7"/>
        <v>372</v>
      </c>
      <c r="D14" s="11" t="s">
        <v>46</v>
      </c>
      <c r="E14" s="11"/>
      <c r="F14" s="11">
        <f t="shared" si="8"/>
        <v>1254725.55</v>
      </c>
      <c r="G14" s="11">
        <v>0</v>
      </c>
      <c r="H14" s="11">
        <v>0</v>
      </c>
      <c r="I14" s="11">
        <v>0</v>
      </c>
      <c r="J14" s="11">
        <v>1254725.55</v>
      </c>
      <c r="K14" s="11">
        <v>0</v>
      </c>
    </row>
    <row r="15" spans="1:17" outlineLevel="1" x14ac:dyDescent="0.3">
      <c r="A15" s="2" t="s">
        <v>51</v>
      </c>
      <c r="B15" s="3" t="s">
        <v>52</v>
      </c>
      <c r="C15" s="27">
        <f t="shared" ca="1" si="7"/>
        <v>347</v>
      </c>
      <c r="D15" s="11" t="s">
        <v>46</v>
      </c>
      <c r="E15" s="11"/>
      <c r="F15" s="11">
        <f t="shared" si="8"/>
        <v>1254725.55</v>
      </c>
      <c r="G15" s="11">
        <v>0</v>
      </c>
      <c r="H15" s="11">
        <v>0</v>
      </c>
      <c r="I15" s="11">
        <v>0</v>
      </c>
      <c r="J15" s="11">
        <v>1254725.55</v>
      </c>
      <c r="K15" s="11">
        <v>0</v>
      </c>
    </row>
    <row r="16" spans="1:17" outlineLevel="1" x14ac:dyDescent="0.3">
      <c r="A16" s="2" t="s">
        <v>53</v>
      </c>
      <c r="B16" s="3" t="s">
        <v>54</v>
      </c>
      <c r="C16" s="27">
        <f t="shared" ca="1" si="7"/>
        <v>313</v>
      </c>
      <c r="D16" s="11" t="s">
        <v>46</v>
      </c>
      <c r="E16" s="11"/>
      <c r="F16" s="11">
        <f t="shared" si="8"/>
        <v>1254725.55</v>
      </c>
      <c r="G16" s="11">
        <v>0</v>
      </c>
      <c r="H16" s="11">
        <v>0</v>
      </c>
      <c r="I16" s="11">
        <v>0</v>
      </c>
      <c r="J16" s="11">
        <v>1254725.55</v>
      </c>
      <c r="K16" s="11">
        <v>0</v>
      </c>
    </row>
    <row r="17" spans="1:17" outlineLevel="1" x14ac:dyDescent="0.3">
      <c r="A17" s="2" t="s">
        <v>55</v>
      </c>
      <c r="B17" s="3" t="s">
        <v>56</v>
      </c>
      <c r="C17" s="27">
        <f t="shared" ca="1" si="7"/>
        <v>284</v>
      </c>
      <c r="D17" s="11" t="s">
        <v>46</v>
      </c>
      <c r="E17" s="11"/>
      <c r="F17" s="11">
        <f t="shared" si="8"/>
        <v>1254725.55</v>
      </c>
      <c r="G17" s="11">
        <v>0</v>
      </c>
      <c r="H17" s="11">
        <v>0</v>
      </c>
      <c r="I17" s="11">
        <v>0</v>
      </c>
      <c r="J17" s="11">
        <v>1254725.55</v>
      </c>
      <c r="K17" s="11">
        <v>0</v>
      </c>
    </row>
    <row r="18" spans="1:17" outlineLevel="1" x14ac:dyDescent="0.3">
      <c r="A18" s="2" t="s">
        <v>57</v>
      </c>
      <c r="B18" s="3" t="s">
        <v>58</v>
      </c>
      <c r="C18" s="27">
        <f t="shared" ca="1" si="7"/>
        <v>256</v>
      </c>
      <c r="D18" s="11" t="s">
        <v>46</v>
      </c>
      <c r="E18" s="11"/>
      <c r="F18" s="11">
        <f t="shared" si="8"/>
        <v>1254725.55</v>
      </c>
      <c r="G18" s="11">
        <v>0</v>
      </c>
      <c r="H18" s="11">
        <v>0</v>
      </c>
      <c r="I18" s="11">
        <v>0</v>
      </c>
      <c r="J18" s="11">
        <v>1254725.55</v>
      </c>
      <c r="K18" s="11">
        <v>0</v>
      </c>
    </row>
    <row r="19" spans="1:17" outlineLevel="1" x14ac:dyDescent="0.3">
      <c r="A19" s="2" t="s">
        <v>59</v>
      </c>
      <c r="B19" s="3" t="s">
        <v>60</v>
      </c>
      <c r="C19" s="27">
        <f t="shared" ca="1" si="7"/>
        <v>224</v>
      </c>
      <c r="D19" s="11" t="s">
        <v>46</v>
      </c>
      <c r="E19" s="11"/>
      <c r="F19" s="11">
        <f t="shared" si="8"/>
        <v>1254725.55</v>
      </c>
      <c r="G19" s="11">
        <v>0</v>
      </c>
      <c r="H19" s="11">
        <v>0</v>
      </c>
      <c r="I19" s="11">
        <v>0</v>
      </c>
      <c r="J19" s="11">
        <v>1254725.55</v>
      </c>
      <c r="K19" s="11">
        <v>0</v>
      </c>
    </row>
    <row r="20" spans="1:17" s="10" customFormat="1" x14ac:dyDescent="0.3">
      <c r="A20" s="7"/>
      <c r="B20" s="8"/>
      <c r="C20" s="8"/>
      <c r="D20" s="12" t="s">
        <v>289</v>
      </c>
      <c r="E20" s="33">
        <f>IF($F$195=0,0,F20/$F$195)</f>
        <v>1.8075284896782878E-2</v>
      </c>
      <c r="F20" s="13">
        <f>SUBTOTAL(9,F13:F19)</f>
        <v>8783078.8499999996</v>
      </c>
      <c r="G20" s="13">
        <f t="shared" ref="G20:K20" si="9">SUBTOTAL(9,G13:G19)</f>
        <v>0</v>
      </c>
      <c r="H20" s="13">
        <f t="shared" si="9"/>
        <v>0</v>
      </c>
      <c r="I20" s="13">
        <f t="shared" si="9"/>
        <v>0</v>
      </c>
      <c r="J20" s="13">
        <f t="shared" si="9"/>
        <v>8783078.8499999996</v>
      </c>
      <c r="K20" s="13">
        <f t="shared" si="9"/>
        <v>0</v>
      </c>
      <c r="L20" s="9"/>
      <c r="M20" s="9"/>
      <c r="N20" s="9"/>
      <c r="O20" s="9"/>
      <c r="P20" s="9"/>
      <c r="Q20" s="9"/>
    </row>
    <row r="21" spans="1:17" outlineLevel="1" x14ac:dyDescent="0.3">
      <c r="A21" s="2" t="s">
        <v>62</v>
      </c>
      <c r="B21" s="3" t="s">
        <v>63</v>
      </c>
      <c r="C21" s="3"/>
      <c r="D21" s="11" t="s">
        <v>61</v>
      </c>
      <c r="E21" s="11"/>
      <c r="F21" s="11">
        <f>SUM(G21:K21)</f>
        <v>962544.05</v>
      </c>
      <c r="G21" s="11">
        <v>962544.05</v>
      </c>
      <c r="H21" s="11">
        <v>0</v>
      </c>
      <c r="I21" s="11">
        <v>0</v>
      </c>
      <c r="J21" s="11">
        <v>0</v>
      </c>
      <c r="K21" s="11">
        <v>0</v>
      </c>
    </row>
    <row r="22" spans="1:17" s="10" customFormat="1" x14ac:dyDescent="0.3">
      <c r="A22" s="7"/>
      <c r="B22" s="8"/>
      <c r="C22" s="8"/>
      <c r="D22" s="12" t="s">
        <v>291</v>
      </c>
      <c r="E22" s="33">
        <f>IF($F$195=0,0,F22/$F$195)</f>
        <v>1.980883722733882E-3</v>
      </c>
      <c r="F22" s="13">
        <f>SUBTOTAL(9,F21)</f>
        <v>962544.05</v>
      </c>
      <c r="G22" s="13">
        <f t="shared" ref="G22:K22" si="10">SUBTOTAL(9,G21)</f>
        <v>962544.05</v>
      </c>
      <c r="H22" s="13">
        <f t="shared" si="10"/>
        <v>0</v>
      </c>
      <c r="I22" s="13">
        <f t="shared" si="10"/>
        <v>0</v>
      </c>
      <c r="J22" s="13">
        <f t="shared" si="10"/>
        <v>0</v>
      </c>
      <c r="K22" s="13">
        <f t="shared" si="10"/>
        <v>0</v>
      </c>
      <c r="L22" s="9"/>
      <c r="M22" s="9"/>
      <c r="N22" s="9"/>
      <c r="O22" s="9"/>
      <c r="P22" s="9"/>
      <c r="Q22" s="9"/>
    </row>
    <row r="23" spans="1:17" outlineLevel="1" x14ac:dyDescent="0.3">
      <c r="A23" s="2" t="s">
        <v>65</v>
      </c>
      <c r="B23" s="3" t="s">
        <v>66</v>
      </c>
      <c r="C23" s="27">
        <f t="shared" ref="C23" ca="1" si="11">TODAY()-B23</f>
        <v>97</v>
      </c>
      <c r="D23" s="11" t="s">
        <v>64</v>
      </c>
      <c r="E23" s="11"/>
      <c r="F23" s="11">
        <f t="shared" ref="F23:F26" si="12">SUM(G23:K23)</f>
        <v>1007999.64</v>
      </c>
      <c r="G23" s="11">
        <v>0</v>
      </c>
      <c r="H23" s="11">
        <v>0</v>
      </c>
      <c r="I23" s="11">
        <v>1007999.64</v>
      </c>
      <c r="J23" s="11">
        <v>0</v>
      </c>
      <c r="K23" s="11">
        <v>0</v>
      </c>
    </row>
    <row r="24" spans="1:17" outlineLevel="1" x14ac:dyDescent="0.3">
      <c r="A24" s="2" t="s">
        <v>67</v>
      </c>
      <c r="B24" s="3" t="s">
        <v>68</v>
      </c>
      <c r="C24" s="8"/>
      <c r="D24" s="11" t="s">
        <v>64</v>
      </c>
      <c r="E24" s="11"/>
      <c r="F24" s="11">
        <f t="shared" si="12"/>
        <v>1188000</v>
      </c>
      <c r="G24" s="11">
        <v>0</v>
      </c>
      <c r="H24" s="11">
        <v>1188000</v>
      </c>
      <c r="I24" s="11">
        <v>0</v>
      </c>
      <c r="J24" s="11">
        <v>0</v>
      </c>
      <c r="K24" s="11">
        <v>0</v>
      </c>
    </row>
    <row r="25" spans="1:17" outlineLevel="1" x14ac:dyDescent="0.3">
      <c r="A25" s="2" t="s">
        <v>69</v>
      </c>
      <c r="B25" s="3" t="s">
        <v>70</v>
      </c>
      <c r="C25" s="27">
        <f t="shared" ref="C25:C27" ca="1" si="13">TODAY()-B25</f>
        <v>131</v>
      </c>
      <c r="D25" s="11" t="s">
        <v>64</v>
      </c>
      <c r="E25" s="11"/>
      <c r="F25" s="11">
        <f t="shared" si="12"/>
        <v>97859</v>
      </c>
      <c r="G25" s="11">
        <v>0</v>
      </c>
      <c r="H25" s="11">
        <v>0</v>
      </c>
      <c r="I25" s="11">
        <v>0</v>
      </c>
      <c r="J25" s="11">
        <v>97859</v>
      </c>
      <c r="K25" s="11">
        <v>0</v>
      </c>
    </row>
    <row r="26" spans="1:17" outlineLevel="1" x14ac:dyDescent="0.3">
      <c r="A26" s="2" t="s">
        <v>71</v>
      </c>
      <c r="B26" s="3" t="s">
        <v>31</v>
      </c>
      <c r="C26" s="27">
        <f t="shared" ca="1" si="13"/>
        <v>109</v>
      </c>
      <c r="D26" s="11" t="s">
        <v>64</v>
      </c>
      <c r="E26" s="11"/>
      <c r="F26" s="11">
        <f t="shared" si="12"/>
        <v>9781142.2400000002</v>
      </c>
      <c r="G26" s="11">
        <v>0</v>
      </c>
      <c r="H26" s="11">
        <v>0</v>
      </c>
      <c r="I26" s="11">
        <v>0</v>
      </c>
      <c r="J26" s="11">
        <v>9781142.2400000002</v>
      </c>
      <c r="K26" s="11">
        <v>0</v>
      </c>
    </row>
    <row r="27" spans="1:17" outlineLevel="1" x14ac:dyDescent="0.3">
      <c r="A27" s="2" t="s">
        <v>72</v>
      </c>
      <c r="B27" s="3" t="s">
        <v>73</v>
      </c>
      <c r="C27" s="27">
        <f t="shared" ca="1" si="13"/>
        <v>98</v>
      </c>
      <c r="D27" s="11" t="s">
        <v>64</v>
      </c>
      <c r="E27" s="11"/>
      <c r="F27" s="14">
        <f>SUM(G27:K27)</f>
        <v>11235880.65</v>
      </c>
      <c r="G27" s="11">
        <v>0</v>
      </c>
      <c r="H27" s="11">
        <v>0</v>
      </c>
      <c r="I27" s="11">
        <v>11235880.65</v>
      </c>
      <c r="J27" s="11">
        <v>0</v>
      </c>
      <c r="K27" s="11">
        <v>0</v>
      </c>
    </row>
    <row r="28" spans="1:17" s="10" customFormat="1" x14ac:dyDescent="0.3">
      <c r="A28" s="7"/>
      <c r="B28" s="8"/>
      <c r="C28" s="8"/>
      <c r="D28" s="12" t="s">
        <v>292</v>
      </c>
      <c r="E28" s="33">
        <f>IF($F$195=0,0,F28/$F$195)</f>
        <v>4.7973020855881759E-2</v>
      </c>
      <c r="F28" s="13">
        <f>SUBTOTAL(9,F23:F27)</f>
        <v>23310881.530000001</v>
      </c>
      <c r="G28" s="13">
        <f t="shared" ref="G28:K28" si="14">SUBTOTAL(9,G23:G27)</f>
        <v>0</v>
      </c>
      <c r="H28" s="13">
        <f t="shared" si="14"/>
        <v>1188000</v>
      </c>
      <c r="I28" s="13">
        <f t="shared" si="14"/>
        <v>12243880.290000001</v>
      </c>
      <c r="J28" s="13">
        <f t="shared" si="14"/>
        <v>9879001.2400000002</v>
      </c>
      <c r="K28" s="13">
        <f t="shared" si="14"/>
        <v>0</v>
      </c>
      <c r="L28" s="9"/>
      <c r="M28" s="9"/>
      <c r="N28" s="9"/>
      <c r="O28" s="9"/>
      <c r="P28" s="9"/>
      <c r="Q28" s="9"/>
    </row>
    <row r="29" spans="1:17" outlineLevel="1" x14ac:dyDescent="0.3">
      <c r="A29" s="2" t="s">
        <v>91</v>
      </c>
      <c r="B29" s="3" t="s">
        <v>92</v>
      </c>
      <c r="C29" s="3"/>
      <c r="D29" s="11" t="s">
        <v>90</v>
      </c>
      <c r="E29" s="11"/>
      <c r="F29" s="11">
        <f>SUM(G29:K29)</f>
        <v>574242.82999999996</v>
      </c>
      <c r="G29" s="11">
        <v>0</v>
      </c>
      <c r="H29" s="11">
        <v>0</v>
      </c>
      <c r="I29" s="11">
        <v>0</v>
      </c>
      <c r="J29" s="11">
        <v>0</v>
      </c>
      <c r="K29" s="11">
        <v>574242.82999999996</v>
      </c>
    </row>
    <row r="30" spans="1:17" s="10" customFormat="1" x14ac:dyDescent="0.3">
      <c r="A30" s="7"/>
      <c r="B30" s="8"/>
      <c r="C30" s="8"/>
      <c r="D30" s="12" t="s">
        <v>293</v>
      </c>
      <c r="E30" s="33">
        <f>IF($F$195=0,0,F30/$F$195)</f>
        <v>1.1817726937729651E-3</v>
      </c>
      <c r="F30" s="13">
        <f>SUBTOTAL(9,F29)</f>
        <v>574242.82999999996</v>
      </c>
      <c r="G30" s="13">
        <f t="shared" ref="G30" si="15">SUBTOTAL(9,G29)</f>
        <v>0</v>
      </c>
      <c r="H30" s="13">
        <f t="shared" ref="H30" si="16">SUBTOTAL(9,H29)</f>
        <v>0</v>
      </c>
      <c r="I30" s="13">
        <f t="shared" ref="I30" si="17">SUBTOTAL(9,I29)</f>
        <v>0</v>
      </c>
      <c r="J30" s="13">
        <f t="shared" ref="J30" si="18">SUBTOTAL(9,J29)</f>
        <v>0</v>
      </c>
      <c r="K30" s="13">
        <f t="shared" ref="K30" si="19">SUBTOTAL(9,K29)</f>
        <v>574242.82999999996</v>
      </c>
      <c r="L30" s="9"/>
      <c r="M30" s="9"/>
      <c r="N30" s="9"/>
      <c r="O30" s="9"/>
      <c r="P30" s="9"/>
      <c r="Q30" s="9"/>
    </row>
    <row r="31" spans="1:17" outlineLevel="1" x14ac:dyDescent="0.3">
      <c r="A31" s="2" t="s">
        <v>94</v>
      </c>
      <c r="B31" s="3" t="s">
        <v>95</v>
      </c>
      <c r="C31" s="3"/>
      <c r="D31" s="11" t="s">
        <v>93</v>
      </c>
      <c r="E31" s="11"/>
      <c r="F31" s="11">
        <f>SUM(G31:K31)</f>
        <v>405352.2</v>
      </c>
      <c r="G31" s="11">
        <v>0</v>
      </c>
      <c r="H31" s="11">
        <v>0</v>
      </c>
      <c r="I31" s="11">
        <v>0</v>
      </c>
      <c r="J31" s="11">
        <v>0</v>
      </c>
      <c r="K31" s="11">
        <v>405352.2</v>
      </c>
    </row>
    <row r="32" spans="1:17" outlineLevel="1" x14ac:dyDescent="0.3">
      <c r="A32" s="2" t="s">
        <v>96</v>
      </c>
      <c r="B32" s="3" t="s">
        <v>97</v>
      </c>
      <c r="C32" s="3"/>
      <c r="D32" s="11" t="s">
        <v>93</v>
      </c>
      <c r="E32" s="11"/>
      <c r="F32" s="11">
        <f>SUM(G32:K32)</f>
        <v>462818.88</v>
      </c>
      <c r="G32" s="11">
        <v>0</v>
      </c>
      <c r="H32" s="11">
        <v>0</v>
      </c>
      <c r="I32" s="11">
        <v>0</v>
      </c>
      <c r="J32" s="11">
        <v>0</v>
      </c>
      <c r="K32" s="11">
        <v>462818.88</v>
      </c>
    </row>
    <row r="33" spans="1:17" s="10" customFormat="1" x14ac:dyDescent="0.3">
      <c r="A33" s="7"/>
      <c r="B33" s="8"/>
      <c r="C33" s="8"/>
      <c r="D33" s="12" t="s">
        <v>294</v>
      </c>
      <c r="E33" s="33">
        <f>IF($F$195=0,0,F33/$F$195)</f>
        <v>1.7866672812743428E-3</v>
      </c>
      <c r="F33" s="13">
        <f>SUBTOTAL(9,F31:F32)</f>
        <v>868171.08000000007</v>
      </c>
      <c r="G33" s="13">
        <f t="shared" ref="G33:K33" si="20">SUBTOTAL(9,G31:G32)</f>
        <v>0</v>
      </c>
      <c r="H33" s="13">
        <f t="shared" si="20"/>
        <v>0</v>
      </c>
      <c r="I33" s="13">
        <f t="shared" si="20"/>
        <v>0</v>
      </c>
      <c r="J33" s="13">
        <f t="shared" si="20"/>
        <v>0</v>
      </c>
      <c r="K33" s="13">
        <f t="shared" si="20"/>
        <v>868171.08000000007</v>
      </c>
      <c r="L33" s="9"/>
      <c r="M33" s="9"/>
      <c r="N33" s="9"/>
      <c r="O33" s="9"/>
      <c r="P33" s="9"/>
      <c r="Q33" s="9"/>
    </row>
    <row r="34" spans="1:17" outlineLevel="1" x14ac:dyDescent="0.3">
      <c r="A34" s="2" t="s">
        <v>99</v>
      </c>
      <c r="B34" s="3" t="s">
        <v>100</v>
      </c>
      <c r="C34" s="3"/>
      <c r="D34" s="11" t="s">
        <v>98</v>
      </c>
      <c r="E34" s="11"/>
      <c r="F34" s="11">
        <f>SUM(G34:K34)</f>
        <v>18538188.719999999</v>
      </c>
      <c r="G34" s="11">
        <v>18538188.719999999</v>
      </c>
      <c r="H34" s="11">
        <v>0</v>
      </c>
      <c r="I34" s="11">
        <v>0</v>
      </c>
      <c r="J34" s="11">
        <v>0</v>
      </c>
      <c r="K34" s="11">
        <v>0</v>
      </c>
    </row>
    <row r="35" spans="1:17" outlineLevel="1" x14ac:dyDescent="0.3">
      <c r="A35" s="2" t="s">
        <v>101</v>
      </c>
      <c r="B35" s="3" t="s">
        <v>102</v>
      </c>
      <c r="C35" s="3"/>
      <c r="D35" s="11" t="s">
        <v>98</v>
      </c>
      <c r="E35" s="11"/>
      <c r="F35" s="11">
        <f>SUM(G35:K35)</f>
        <v>383182</v>
      </c>
      <c r="G35" s="11">
        <v>0</v>
      </c>
      <c r="H35" s="11">
        <v>0</v>
      </c>
      <c r="I35" s="11">
        <v>0</v>
      </c>
      <c r="J35" s="11">
        <v>0</v>
      </c>
      <c r="K35" s="11">
        <v>383182</v>
      </c>
    </row>
    <row r="36" spans="1:17" s="10" customFormat="1" x14ac:dyDescent="0.3">
      <c r="A36" s="7"/>
      <c r="B36" s="8"/>
      <c r="C36" s="8"/>
      <c r="D36" s="12" t="s">
        <v>295</v>
      </c>
      <c r="E36" s="33">
        <f>IF($F$195=0,0,F36/$F$195)</f>
        <v>3.89395532298615E-2</v>
      </c>
      <c r="F36" s="13">
        <f>SUBTOTAL(9,F34:F35)</f>
        <v>18921370.719999999</v>
      </c>
      <c r="G36" s="13">
        <f t="shared" ref="G36" si="21">SUBTOTAL(9,G34:G35)</f>
        <v>18538188.719999999</v>
      </c>
      <c r="H36" s="13">
        <f t="shared" ref="H36" si="22">SUBTOTAL(9,H34:H35)</f>
        <v>0</v>
      </c>
      <c r="I36" s="13">
        <f t="shared" ref="I36" si="23">SUBTOTAL(9,I34:I35)</f>
        <v>0</v>
      </c>
      <c r="J36" s="13">
        <f t="shared" ref="J36" si="24">SUBTOTAL(9,J34:J35)</f>
        <v>0</v>
      </c>
      <c r="K36" s="13">
        <f t="shared" ref="K36" si="25">SUBTOTAL(9,K34:K35)</f>
        <v>383182</v>
      </c>
      <c r="L36" s="9"/>
      <c r="M36" s="9"/>
      <c r="N36" s="9"/>
      <c r="O36" s="9"/>
      <c r="P36" s="9"/>
      <c r="Q36" s="9"/>
    </row>
    <row r="37" spans="1:17" outlineLevel="1" x14ac:dyDescent="0.3">
      <c r="A37" s="2" t="s">
        <v>105</v>
      </c>
      <c r="B37" s="3" t="s">
        <v>106</v>
      </c>
      <c r="C37" s="27">
        <f t="shared" ref="C37:C38" ca="1" si="26">TODAY()-B37</f>
        <v>78</v>
      </c>
      <c r="D37" s="11" t="s">
        <v>103</v>
      </c>
      <c r="E37" s="11"/>
      <c r="F37" s="11">
        <f t="shared" ref="F37:F95" si="27">SUM(G37:K37)</f>
        <v>2569329</v>
      </c>
      <c r="G37" s="11">
        <v>0</v>
      </c>
      <c r="H37" s="11">
        <v>0</v>
      </c>
      <c r="I37" s="11">
        <v>2569329</v>
      </c>
      <c r="J37" s="11">
        <v>0</v>
      </c>
      <c r="K37" s="11">
        <v>0</v>
      </c>
    </row>
    <row r="38" spans="1:17" outlineLevel="1" x14ac:dyDescent="0.3">
      <c r="A38" s="2" t="s">
        <v>107</v>
      </c>
      <c r="B38" s="3" t="s">
        <v>108</v>
      </c>
      <c r="C38" s="27">
        <f t="shared" ca="1" si="26"/>
        <v>45</v>
      </c>
      <c r="D38" s="11" t="s">
        <v>103</v>
      </c>
      <c r="E38" s="11"/>
      <c r="F38" s="11">
        <f t="shared" si="27"/>
        <v>2569329</v>
      </c>
      <c r="G38" s="11">
        <v>0</v>
      </c>
      <c r="H38" s="11">
        <v>2569329</v>
      </c>
      <c r="I38" s="11">
        <v>0</v>
      </c>
      <c r="J38" s="11">
        <v>0</v>
      </c>
      <c r="K38" s="11">
        <v>0</v>
      </c>
    </row>
    <row r="39" spans="1:17" outlineLevel="1" x14ac:dyDescent="0.3">
      <c r="A39" s="2" t="s">
        <v>109</v>
      </c>
      <c r="B39" s="16" t="s">
        <v>10</v>
      </c>
      <c r="C39" s="3"/>
      <c r="D39" s="11" t="s">
        <v>103</v>
      </c>
      <c r="E39" s="11"/>
      <c r="F39" s="11">
        <f t="shared" si="27"/>
        <v>2569329</v>
      </c>
      <c r="G39" s="11">
        <v>2569329</v>
      </c>
      <c r="H39" s="11">
        <v>0</v>
      </c>
      <c r="I39" s="11">
        <v>0</v>
      </c>
      <c r="J39" s="11">
        <v>0</v>
      </c>
      <c r="K39" s="11">
        <v>0</v>
      </c>
    </row>
    <row r="40" spans="1:17" outlineLevel="1" x14ac:dyDescent="0.3">
      <c r="A40" s="2" t="s">
        <v>110</v>
      </c>
      <c r="B40" s="3" t="s">
        <v>111</v>
      </c>
      <c r="C40" s="3"/>
      <c r="D40" s="11" t="s">
        <v>103</v>
      </c>
      <c r="E40" s="11"/>
      <c r="F40" s="11">
        <f t="shared" si="27"/>
        <v>2562903</v>
      </c>
      <c r="G40" s="11">
        <v>0</v>
      </c>
      <c r="H40" s="11">
        <v>0</v>
      </c>
      <c r="I40" s="11">
        <v>0</v>
      </c>
      <c r="J40" s="11">
        <v>0</v>
      </c>
      <c r="K40" s="11">
        <v>2562903</v>
      </c>
    </row>
    <row r="41" spans="1:17" outlineLevel="1" x14ac:dyDescent="0.3">
      <c r="A41" s="2" t="s">
        <v>112</v>
      </c>
      <c r="B41" s="3" t="s">
        <v>113</v>
      </c>
      <c r="C41" s="3"/>
      <c r="D41" s="11" t="s">
        <v>103</v>
      </c>
      <c r="E41" s="11"/>
      <c r="F41" s="11">
        <f t="shared" si="27"/>
        <v>365289</v>
      </c>
      <c r="G41" s="11">
        <v>0</v>
      </c>
      <c r="H41" s="11">
        <v>0</v>
      </c>
      <c r="I41" s="11">
        <v>0</v>
      </c>
      <c r="J41" s="11">
        <v>0</v>
      </c>
      <c r="K41" s="11">
        <v>365289</v>
      </c>
    </row>
    <row r="42" spans="1:17" outlineLevel="1" x14ac:dyDescent="0.3">
      <c r="A42" s="2" t="s">
        <v>114</v>
      </c>
      <c r="B42" s="3" t="s">
        <v>115</v>
      </c>
      <c r="C42" s="3"/>
      <c r="D42" s="11" t="s">
        <v>103</v>
      </c>
      <c r="E42" s="11"/>
      <c r="F42" s="11">
        <f t="shared" si="27"/>
        <v>4706423.45</v>
      </c>
      <c r="G42" s="11">
        <v>0</v>
      </c>
      <c r="H42" s="11">
        <v>0</v>
      </c>
      <c r="I42" s="11">
        <v>4706423.45</v>
      </c>
      <c r="J42" s="11">
        <v>0</v>
      </c>
      <c r="K42" s="11">
        <v>0</v>
      </c>
    </row>
    <row r="43" spans="1:17" outlineLevel="1" x14ac:dyDescent="0.3">
      <c r="A43" s="2" t="s">
        <v>116</v>
      </c>
      <c r="B43" s="3" t="s">
        <v>117</v>
      </c>
      <c r="C43" s="3"/>
      <c r="D43" s="11" t="s">
        <v>103</v>
      </c>
      <c r="E43" s="11"/>
      <c r="F43" s="11">
        <f t="shared" si="27"/>
        <v>2559014.98</v>
      </c>
      <c r="G43" s="11">
        <v>0</v>
      </c>
      <c r="H43" s="11">
        <v>2559014.98</v>
      </c>
      <c r="I43" s="11">
        <v>0</v>
      </c>
      <c r="J43" s="11">
        <v>0</v>
      </c>
      <c r="K43" s="11">
        <v>0</v>
      </c>
    </row>
    <row r="44" spans="1:17" outlineLevel="1" x14ac:dyDescent="0.3">
      <c r="A44" s="2" t="s">
        <v>118</v>
      </c>
      <c r="B44" s="3" t="s">
        <v>119</v>
      </c>
      <c r="C44" s="3"/>
      <c r="D44" s="11" t="s">
        <v>103</v>
      </c>
      <c r="E44" s="11"/>
      <c r="F44" s="11">
        <f t="shared" si="27"/>
        <v>1382739.46</v>
      </c>
      <c r="G44" s="11">
        <v>1382739.46</v>
      </c>
      <c r="H44" s="11">
        <v>0</v>
      </c>
      <c r="I44" s="11">
        <v>0</v>
      </c>
      <c r="J44" s="11">
        <v>0</v>
      </c>
      <c r="K44" s="11">
        <v>0</v>
      </c>
    </row>
    <row r="45" spans="1:17" outlineLevel="1" x14ac:dyDescent="0.3">
      <c r="A45" s="2" t="s">
        <v>120</v>
      </c>
      <c r="B45" s="3" t="s">
        <v>121</v>
      </c>
      <c r="C45" s="3"/>
      <c r="D45" s="11" t="s">
        <v>103</v>
      </c>
      <c r="E45" s="11"/>
      <c r="F45" s="11">
        <f t="shared" si="27"/>
        <v>17203235.960000001</v>
      </c>
      <c r="G45" s="11">
        <v>0</v>
      </c>
      <c r="H45" s="11">
        <v>0</v>
      </c>
      <c r="I45" s="11">
        <v>0</v>
      </c>
      <c r="J45" s="11">
        <v>0</v>
      </c>
      <c r="K45" s="11">
        <v>17203235.960000001</v>
      </c>
    </row>
    <row r="46" spans="1:17" outlineLevel="1" x14ac:dyDescent="0.3">
      <c r="A46" s="2" t="s">
        <v>122</v>
      </c>
      <c r="B46" s="3" t="s">
        <v>113</v>
      </c>
      <c r="C46" s="3"/>
      <c r="D46" s="11" t="s">
        <v>103</v>
      </c>
      <c r="E46" s="11"/>
      <c r="F46" s="11">
        <f t="shared" si="27"/>
        <v>7722428.6299999999</v>
      </c>
      <c r="G46" s="11">
        <v>0</v>
      </c>
      <c r="H46" s="11">
        <v>0</v>
      </c>
      <c r="I46" s="11">
        <v>0</v>
      </c>
      <c r="J46" s="11">
        <v>0</v>
      </c>
      <c r="K46" s="11">
        <v>7722428.6299999999</v>
      </c>
    </row>
    <row r="47" spans="1:17" s="10" customFormat="1" x14ac:dyDescent="0.3">
      <c r="A47" s="7"/>
      <c r="B47" s="8"/>
      <c r="C47" s="8"/>
      <c r="D47" s="12" t="s">
        <v>296</v>
      </c>
      <c r="E47" s="33">
        <f>IF($F$195=0,0,F47/$F$195)</f>
        <v>9.0982757549067275E-2</v>
      </c>
      <c r="F47" s="13">
        <f>SUBTOTAL(9,F37:F46)</f>
        <v>44210021.480000004</v>
      </c>
      <c r="G47" s="13">
        <f t="shared" ref="G47:K47" si="28">SUBTOTAL(9,G37:G46)</f>
        <v>3952068.46</v>
      </c>
      <c r="H47" s="13">
        <f t="shared" si="28"/>
        <v>5128343.9800000004</v>
      </c>
      <c r="I47" s="13">
        <f t="shared" si="28"/>
        <v>7275752.4500000002</v>
      </c>
      <c r="J47" s="13">
        <f t="shared" si="28"/>
        <v>0</v>
      </c>
      <c r="K47" s="13">
        <f t="shared" si="28"/>
        <v>27853856.59</v>
      </c>
      <c r="L47" s="9"/>
      <c r="M47" s="9"/>
      <c r="N47" s="9"/>
      <c r="O47" s="9"/>
      <c r="P47" s="9"/>
      <c r="Q47" s="9"/>
    </row>
    <row r="48" spans="1:17" outlineLevel="1" x14ac:dyDescent="0.3">
      <c r="A48" s="2" t="s">
        <v>124</v>
      </c>
      <c r="B48" s="3" t="s">
        <v>70</v>
      </c>
      <c r="C48" s="27">
        <f t="shared" ref="C48" ca="1" si="29">TODAY()-B48</f>
        <v>131</v>
      </c>
      <c r="D48" s="11" t="s">
        <v>123</v>
      </c>
      <c r="E48" s="11"/>
      <c r="F48" s="11">
        <f t="shared" si="27"/>
        <v>597907.31000000006</v>
      </c>
      <c r="G48" s="11">
        <v>0</v>
      </c>
      <c r="H48" s="11">
        <v>0</v>
      </c>
      <c r="I48" s="11">
        <v>0</v>
      </c>
      <c r="J48" s="11">
        <v>597907.31000000006</v>
      </c>
      <c r="K48" s="11">
        <v>0</v>
      </c>
    </row>
    <row r="49" spans="1:17" outlineLevel="1" x14ac:dyDescent="0.3">
      <c r="A49" s="2" t="s">
        <v>125</v>
      </c>
      <c r="B49" s="16" t="s">
        <v>126</v>
      </c>
      <c r="C49" s="3"/>
      <c r="D49" s="11" t="s">
        <v>123</v>
      </c>
      <c r="E49" s="11"/>
      <c r="F49" s="11">
        <f t="shared" si="27"/>
        <v>1121157.31</v>
      </c>
      <c r="G49" s="11">
        <v>0</v>
      </c>
      <c r="H49" s="11">
        <v>1121157.31</v>
      </c>
      <c r="I49" s="11">
        <v>0</v>
      </c>
      <c r="J49" s="11">
        <v>0</v>
      </c>
      <c r="K49" s="11">
        <v>0</v>
      </c>
    </row>
    <row r="50" spans="1:17" outlineLevel="1" x14ac:dyDescent="0.3">
      <c r="A50" s="2" t="s">
        <v>127</v>
      </c>
      <c r="B50" s="3" t="s">
        <v>92</v>
      </c>
      <c r="C50" s="3"/>
      <c r="D50" s="11" t="s">
        <v>123</v>
      </c>
      <c r="E50" s="11"/>
      <c r="F50" s="11">
        <f t="shared" si="27"/>
        <v>1200755.73</v>
      </c>
      <c r="G50" s="11">
        <v>0</v>
      </c>
      <c r="H50" s="11">
        <v>0</v>
      </c>
      <c r="I50" s="11">
        <v>0</v>
      </c>
      <c r="J50" s="11">
        <v>0</v>
      </c>
      <c r="K50" s="11">
        <v>1200755.73</v>
      </c>
    </row>
    <row r="51" spans="1:17" s="10" customFormat="1" x14ac:dyDescent="0.3">
      <c r="A51" s="7"/>
      <c r="B51" s="8"/>
      <c r="C51" s="8"/>
      <c r="D51" s="12" t="s">
        <v>297</v>
      </c>
      <c r="E51" s="33">
        <f>IF($F$195=0,0,F51/$F$195)</f>
        <v>6.0088934159658941E-3</v>
      </c>
      <c r="F51" s="13">
        <f>SUBTOTAL(9,F48:F50)</f>
        <v>2919820.35</v>
      </c>
      <c r="G51" s="13">
        <f t="shared" ref="G51:K51" si="30">SUBTOTAL(9,G48:G50)</f>
        <v>0</v>
      </c>
      <c r="H51" s="13">
        <f t="shared" si="30"/>
        <v>1121157.31</v>
      </c>
      <c r="I51" s="13">
        <f t="shared" si="30"/>
        <v>0</v>
      </c>
      <c r="J51" s="13">
        <f t="shared" si="30"/>
        <v>597907.31000000006</v>
      </c>
      <c r="K51" s="13">
        <f t="shared" si="30"/>
        <v>1200755.73</v>
      </c>
      <c r="L51" s="9"/>
      <c r="M51" s="9"/>
      <c r="N51" s="9"/>
      <c r="O51" s="9"/>
      <c r="P51" s="9"/>
      <c r="Q51" s="9"/>
    </row>
    <row r="52" spans="1:17" outlineLevel="1" x14ac:dyDescent="0.3">
      <c r="A52" s="2" t="s">
        <v>163</v>
      </c>
      <c r="B52" s="16" t="s">
        <v>63</v>
      </c>
      <c r="C52" s="3"/>
      <c r="D52" s="11" t="s">
        <v>162</v>
      </c>
      <c r="E52" s="11"/>
      <c r="F52" s="11">
        <f t="shared" si="27"/>
        <v>1264316.04</v>
      </c>
      <c r="G52" s="11">
        <v>1264316.04</v>
      </c>
      <c r="H52" s="11">
        <v>0</v>
      </c>
      <c r="I52" s="11">
        <v>0</v>
      </c>
      <c r="J52" s="11">
        <v>0</v>
      </c>
      <c r="K52" s="11">
        <v>0</v>
      </c>
    </row>
    <row r="53" spans="1:17" outlineLevel="1" x14ac:dyDescent="0.3">
      <c r="A53" s="2" t="s">
        <v>164</v>
      </c>
      <c r="B53" s="3" t="s">
        <v>27</v>
      </c>
      <c r="C53" s="3"/>
      <c r="D53" s="11" t="s">
        <v>162</v>
      </c>
      <c r="E53" s="11"/>
      <c r="F53" s="11">
        <f t="shared" si="27"/>
        <v>1167060.96</v>
      </c>
      <c r="G53" s="11">
        <v>0</v>
      </c>
      <c r="H53" s="11">
        <v>0</v>
      </c>
      <c r="I53" s="11">
        <v>0</v>
      </c>
      <c r="J53" s="11">
        <v>0</v>
      </c>
      <c r="K53" s="11">
        <v>1167060.96</v>
      </c>
    </row>
    <row r="54" spans="1:17" s="10" customFormat="1" x14ac:dyDescent="0.3">
      <c r="A54" s="7"/>
      <c r="B54" s="8"/>
      <c r="C54" s="8"/>
      <c r="D54" s="12" t="s">
        <v>298</v>
      </c>
      <c r="E54" s="33">
        <f>IF($F$195=0,0,F54/$F$195)</f>
        <v>5.0036932056559255E-3</v>
      </c>
      <c r="F54" s="13">
        <f>SUBTOTAL(9,F52:F53)</f>
        <v>2431377</v>
      </c>
      <c r="G54" s="13">
        <f t="shared" ref="G54:K54" si="31">SUBTOTAL(9,G52:G53)</f>
        <v>1264316.04</v>
      </c>
      <c r="H54" s="13">
        <f t="shared" si="31"/>
        <v>0</v>
      </c>
      <c r="I54" s="13">
        <f t="shared" si="31"/>
        <v>0</v>
      </c>
      <c r="J54" s="13">
        <f t="shared" si="31"/>
        <v>0</v>
      </c>
      <c r="K54" s="13">
        <f t="shared" si="31"/>
        <v>1167060.96</v>
      </c>
      <c r="L54" s="9"/>
      <c r="M54" s="9"/>
      <c r="N54" s="9"/>
      <c r="O54" s="9"/>
      <c r="P54" s="9"/>
      <c r="Q54" s="9"/>
    </row>
    <row r="55" spans="1:17" outlineLevel="1" x14ac:dyDescent="0.3">
      <c r="A55" s="2" t="s">
        <v>166</v>
      </c>
      <c r="B55" s="3" t="s">
        <v>126</v>
      </c>
      <c r="C55" s="3"/>
      <c r="D55" s="11" t="s">
        <v>165</v>
      </c>
      <c r="E55" s="11"/>
      <c r="F55" s="11">
        <f t="shared" si="27"/>
        <v>177905</v>
      </c>
      <c r="G55" s="11">
        <v>0</v>
      </c>
      <c r="H55" s="11">
        <v>177905</v>
      </c>
      <c r="I55" s="11">
        <v>0</v>
      </c>
      <c r="J55" s="11">
        <v>0</v>
      </c>
      <c r="K55" s="11">
        <v>0</v>
      </c>
    </row>
    <row r="56" spans="1:17" s="10" customFormat="1" x14ac:dyDescent="0.3">
      <c r="A56" s="7"/>
      <c r="B56" s="8"/>
      <c r="C56" s="8"/>
      <c r="D56" s="12" t="s">
        <v>299</v>
      </c>
      <c r="E56" s="33">
        <f>IF($F$195=0,0,F56/$F$195)</f>
        <v>3.6612258804464198E-4</v>
      </c>
      <c r="F56" s="13">
        <f t="shared" ref="F56:K56" si="32">SUBTOTAL(9,F55:F55)</f>
        <v>177905</v>
      </c>
      <c r="G56" s="13">
        <f t="shared" si="32"/>
        <v>0</v>
      </c>
      <c r="H56" s="13">
        <f t="shared" si="32"/>
        <v>177905</v>
      </c>
      <c r="I56" s="13">
        <f t="shared" si="32"/>
        <v>0</v>
      </c>
      <c r="J56" s="13">
        <f t="shared" si="32"/>
        <v>0</v>
      </c>
      <c r="K56" s="13">
        <f t="shared" si="32"/>
        <v>0</v>
      </c>
      <c r="L56" s="9"/>
      <c r="M56" s="9"/>
      <c r="N56" s="9"/>
      <c r="O56" s="9"/>
      <c r="P56" s="9"/>
      <c r="Q56" s="9"/>
    </row>
    <row r="57" spans="1:17" outlineLevel="1" x14ac:dyDescent="0.3">
      <c r="A57" s="2" t="s">
        <v>169</v>
      </c>
      <c r="B57" s="16" t="s">
        <v>34</v>
      </c>
      <c r="C57" s="3"/>
      <c r="D57" s="11" t="s">
        <v>168</v>
      </c>
      <c r="E57" s="11"/>
      <c r="F57" s="11">
        <f t="shared" si="27"/>
        <v>34362712.649999999</v>
      </c>
      <c r="G57" s="11">
        <v>34362712.649999999</v>
      </c>
      <c r="H57" s="11">
        <v>0</v>
      </c>
      <c r="I57" s="11">
        <v>0</v>
      </c>
      <c r="J57" s="11">
        <v>0</v>
      </c>
      <c r="K57" s="11">
        <v>0</v>
      </c>
    </row>
    <row r="58" spans="1:17" outlineLevel="1" x14ac:dyDescent="0.3">
      <c r="A58" s="2" t="s">
        <v>170</v>
      </c>
      <c r="B58" s="16" t="s">
        <v>34</v>
      </c>
      <c r="C58" s="3"/>
      <c r="D58" s="11" t="s">
        <v>168</v>
      </c>
      <c r="E58" s="11"/>
      <c r="F58" s="11">
        <f t="shared" si="27"/>
        <v>2104000</v>
      </c>
      <c r="G58" s="11">
        <v>2104000</v>
      </c>
      <c r="H58" s="11">
        <v>0</v>
      </c>
      <c r="I58" s="11">
        <v>0</v>
      </c>
      <c r="J58" s="11">
        <v>0</v>
      </c>
      <c r="K58" s="11">
        <v>0</v>
      </c>
    </row>
    <row r="59" spans="1:17" s="10" customFormat="1" x14ac:dyDescent="0.3">
      <c r="A59" s="7"/>
      <c r="B59" s="8"/>
      <c r="C59" s="8"/>
      <c r="D59" s="12" t="s">
        <v>300</v>
      </c>
      <c r="E59" s="33">
        <f>IF($F$195=0,0,F59/$F$195)</f>
        <v>7.5047284859325394E-2</v>
      </c>
      <c r="F59" s="13">
        <f>SUBTOTAL(9,F57:F58)</f>
        <v>36466712.649999999</v>
      </c>
      <c r="G59" s="13">
        <f t="shared" ref="G59" si="33">SUBTOTAL(9,G57:G58)</f>
        <v>36466712.649999999</v>
      </c>
      <c r="H59" s="13">
        <f t="shared" ref="H59" si="34">SUBTOTAL(9,H57:H58)</f>
        <v>0</v>
      </c>
      <c r="I59" s="13">
        <f t="shared" ref="I59" si="35">SUBTOTAL(9,I57:I58)</f>
        <v>0</v>
      </c>
      <c r="J59" s="13">
        <f t="shared" ref="J59" si="36">SUBTOTAL(9,J57:J58)</f>
        <v>0</v>
      </c>
      <c r="K59" s="13">
        <f t="shared" ref="K59" si="37">SUBTOTAL(9,K57:K58)</f>
        <v>0</v>
      </c>
      <c r="L59" s="9"/>
      <c r="M59" s="9"/>
      <c r="N59" s="9"/>
      <c r="O59" s="9"/>
      <c r="P59" s="9"/>
      <c r="Q59" s="9"/>
    </row>
    <row r="60" spans="1:17" outlineLevel="1" x14ac:dyDescent="0.3">
      <c r="A60" s="2" t="s">
        <v>173</v>
      </c>
      <c r="B60" s="3" t="s">
        <v>174</v>
      </c>
      <c r="C60" s="3"/>
      <c r="D60" s="11" t="s">
        <v>171</v>
      </c>
      <c r="E60" s="11"/>
      <c r="F60" s="11">
        <f t="shared" si="27"/>
        <v>1451213.81</v>
      </c>
      <c r="G60" s="11">
        <v>0</v>
      </c>
      <c r="H60" s="11">
        <v>0</v>
      </c>
      <c r="I60" s="11">
        <v>0</v>
      </c>
      <c r="J60" s="11">
        <v>0</v>
      </c>
      <c r="K60" s="11">
        <v>1451213.81</v>
      </c>
    </row>
    <row r="61" spans="1:17" s="10" customFormat="1" x14ac:dyDescent="0.3">
      <c r="A61" s="7"/>
      <c r="B61" s="8"/>
      <c r="C61" s="8"/>
      <c r="D61" s="12" t="s">
        <v>301</v>
      </c>
      <c r="E61" s="33">
        <f>IF($F$195=0,0,F61/$F$195)</f>
        <v>2.9865498773127531E-3</v>
      </c>
      <c r="F61" s="13">
        <f>SUBTOTAL(9,F60)</f>
        <v>1451213.81</v>
      </c>
      <c r="G61" s="13">
        <f t="shared" ref="G61:K61" si="38">SUBTOTAL(9,G60)</f>
        <v>0</v>
      </c>
      <c r="H61" s="13">
        <f t="shared" si="38"/>
        <v>0</v>
      </c>
      <c r="I61" s="13">
        <f t="shared" si="38"/>
        <v>0</v>
      </c>
      <c r="J61" s="13">
        <f t="shared" si="38"/>
        <v>0</v>
      </c>
      <c r="K61" s="13">
        <f t="shared" si="38"/>
        <v>1451213.81</v>
      </c>
      <c r="L61" s="9"/>
      <c r="M61" s="9"/>
      <c r="N61" s="9"/>
      <c r="O61" s="9"/>
      <c r="P61" s="9"/>
      <c r="Q61" s="9"/>
    </row>
    <row r="62" spans="1:17" outlineLevel="1" x14ac:dyDescent="0.3">
      <c r="A62" s="2" t="s">
        <v>177</v>
      </c>
      <c r="B62" s="3" t="s">
        <v>154</v>
      </c>
      <c r="C62" s="3"/>
      <c r="D62" s="11" t="s">
        <v>176</v>
      </c>
      <c r="E62" s="11"/>
      <c r="F62" s="11">
        <f t="shared" si="27"/>
        <v>18182067.66</v>
      </c>
      <c r="G62" s="11">
        <v>0</v>
      </c>
      <c r="H62" s="11">
        <v>0</v>
      </c>
      <c r="I62" s="11">
        <v>0</v>
      </c>
      <c r="J62" s="11">
        <v>0</v>
      </c>
      <c r="K62" s="11">
        <v>18182067.66</v>
      </c>
    </row>
    <row r="63" spans="1:17" s="10" customFormat="1" x14ac:dyDescent="0.3">
      <c r="A63" s="7"/>
      <c r="B63" s="8"/>
      <c r="C63" s="8"/>
      <c r="D63" s="12" t="s">
        <v>302</v>
      </c>
      <c r="E63" s="33">
        <f>IF($F$195=0,0,F63/$F$195)</f>
        <v>3.7418092058581758E-2</v>
      </c>
      <c r="F63" s="13">
        <f>SUBTOTAL(9,F62)</f>
        <v>18182067.66</v>
      </c>
      <c r="G63" s="13">
        <f t="shared" ref="G63" si="39">SUBTOTAL(9,G62)</f>
        <v>0</v>
      </c>
      <c r="H63" s="13">
        <f t="shared" ref="H63" si="40">SUBTOTAL(9,H62)</f>
        <v>0</v>
      </c>
      <c r="I63" s="13">
        <f t="shared" ref="I63" si="41">SUBTOTAL(9,I62)</f>
        <v>0</v>
      </c>
      <c r="J63" s="13">
        <f t="shared" ref="J63" si="42">SUBTOTAL(9,J62)</f>
        <v>0</v>
      </c>
      <c r="K63" s="13">
        <f t="shared" ref="K63" si="43">SUBTOTAL(9,K62)</f>
        <v>18182067.66</v>
      </c>
      <c r="L63" s="9"/>
      <c r="M63" s="9"/>
      <c r="N63" s="9"/>
      <c r="O63" s="9"/>
      <c r="P63" s="9"/>
      <c r="Q63" s="9"/>
    </row>
    <row r="64" spans="1:17" outlineLevel="1" x14ac:dyDescent="0.3">
      <c r="A64" s="2" t="s">
        <v>179</v>
      </c>
      <c r="B64" s="3" t="s">
        <v>180</v>
      </c>
      <c r="C64" s="3"/>
      <c r="D64" s="11" t="s">
        <v>178</v>
      </c>
      <c r="E64" s="11"/>
      <c r="F64" s="11">
        <f t="shared" si="27"/>
        <v>7948929.0199999996</v>
      </c>
      <c r="G64" s="11">
        <v>0</v>
      </c>
      <c r="H64" s="11">
        <v>0</v>
      </c>
      <c r="I64" s="11">
        <v>0</v>
      </c>
      <c r="J64" s="11">
        <v>0</v>
      </c>
      <c r="K64" s="11">
        <v>7948929.0199999996</v>
      </c>
    </row>
    <row r="65" spans="1:17" outlineLevel="1" x14ac:dyDescent="0.3">
      <c r="A65" s="2" t="s">
        <v>181</v>
      </c>
      <c r="B65" s="3" t="s">
        <v>102</v>
      </c>
      <c r="C65" s="3"/>
      <c r="D65" s="11" t="s">
        <v>178</v>
      </c>
      <c r="E65" s="11"/>
      <c r="F65" s="11">
        <f t="shared" si="27"/>
        <v>7402389.0899999999</v>
      </c>
      <c r="G65" s="11">
        <v>0</v>
      </c>
      <c r="H65" s="11">
        <v>0</v>
      </c>
      <c r="I65" s="11">
        <v>0</v>
      </c>
      <c r="J65" s="11">
        <v>0</v>
      </c>
      <c r="K65" s="11">
        <v>7402389.0899999999</v>
      </c>
    </row>
    <row r="66" spans="1:17" s="10" customFormat="1" x14ac:dyDescent="0.3">
      <c r="A66" s="7"/>
      <c r="B66" s="8"/>
      <c r="C66" s="8"/>
      <c r="D66" s="12" t="s">
        <v>303</v>
      </c>
      <c r="E66" s="33">
        <f>IF($F$195=0,0,F66/$F$195)</f>
        <v>3.1592503394113611E-2</v>
      </c>
      <c r="F66" s="13">
        <f>SUBTOTAL(9,F64:F65)</f>
        <v>15351318.109999999</v>
      </c>
      <c r="G66" s="13">
        <f t="shared" ref="G66:K66" si="44">SUBTOTAL(9,G64:G65)</f>
        <v>0</v>
      </c>
      <c r="H66" s="13">
        <f t="shared" si="44"/>
        <v>0</v>
      </c>
      <c r="I66" s="13">
        <f t="shared" si="44"/>
        <v>0</v>
      </c>
      <c r="J66" s="13">
        <f t="shared" si="44"/>
        <v>0</v>
      </c>
      <c r="K66" s="13">
        <f t="shared" si="44"/>
        <v>15351318.109999999</v>
      </c>
      <c r="L66" s="9"/>
      <c r="M66" s="9"/>
      <c r="N66" s="9"/>
      <c r="O66" s="9"/>
      <c r="P66" s="9"/>
      <c r="Q66" s="9"/>
    </row>
    <row r="67" spans="1:17" outlineLevel="1" x14ac:dyDescent="0.3">
      <c r="A67" s="2" t="s">
        <v>183</v>
      </c>
      <c r="B67" s="3" t="s">
        <v>184</v>
      </c>
      <c r="C67" s="27">
        <f t="shared" ref="C67:C77" ca="1" si="45">TODAY()-B67</f>
        <v>1805</v>
      </c>
      <c r="D67" s="11" t="s">
        <v>182</v>
      </c>
      <c r="E67" s="11"/>
      <c r="F67" s="11">
        <f t="shared" si="27"/>
        <v>585987.5</v>
      </c>
      <c r="G67" s="11">
        <v>0</v>
      </c>
      <c r="H67" s="11">
        <v>0</v>
      </c>
      <c r="I67" s="11">
        <v>0</v>
      </c>
      <c r="J67" s="11">
        <v>585987.5</v>
      </c>
      <c r="K67" s="11">
        <v>0</v>
      </c>
    </row>
    <row r="68" spans="1:17" outlineLevel="1" x14ac:dyDescent="0.3">
      <c r="A68" s="2" t="s">
        <v>185</v>
      </c>
      <c r="B68" s="3" t="s">
        <v>186</v>
      </c>
      <c r="C68" s="27">
        <f t="shared" ca="1" si="45"/>
        <v>1777</v>
      </c>
      <c r="D68" s="11" t="s">
        <v>182</v>
      </c>
      <c r="E68" s="11"/>
      <c r="F68" s="11">
        <f t="shared" si="27"/>
        <v>617274</v>
      </c>
      <c r="G68" s="11">
        <v>0</v>
      </c>
      <c r="H68" s="11">
        <v>0</v>
      </c>
      <c r="I68" s="11">
        <v>0</v>
      </c>
      <c r="J68" s="11">
        <v>617274</v>
      </c>
      <c r="K68" s="11">
        <v>0</v>
      </c>
    </row>
    <row r="69" spans="1:17" outlineLevel="1" x14ac:dyDescent="0.3">
      <c r="A69" s="2" t="s">
        <v>187</v>
      </c>
      <c r="B69" s="3" t="s">
        <v>188</v>
      </c>
      <c r="C69" s="27">
        <f t="shared" ca="1" si="45"/>
        <v>1743</v>
      </c>
      <c r="D69" s="11" t="s">
        <v>182</v>
      </c>
      <c r="E69" s="11"/>
      <c r="F69" s="11">
        <f t="shared" si="27"/>
        <v>617274</v>
      </c>
      <c r="G69" s="11">
        <v>0</v>
      </c>
      <c r="H69" s="11">
        <v>0</v>
      </c>
      <c r="I69" s="11">
        <v>0</v>
      </c>
      <c r="J69" s="11">
        <v>617274</v>
      </c>
      <c r="K69" s="11">
        <v>0</v>
      </c>
    </row>
    <row r="70" spans="1:17" outlineLevel="1" x14ac:dyDescent="0.3">
      <c r="A70" s="2" t="s">
        <v>189</v>
      </c>
      <c r="B70" s="3" t="s">
        <v>190</v>
      </c>
      <c r="C70" s="27">
        <f t="shared" ca="1" si="45"/>
        <v>1709</v>
      </c>
      <c r="D70" s="11" t="s">
        <v>182</v>
      </c>
      <c r="E70" s="11"/>
      <c r="F70" s="11">
        <f t="shared" si="27"/>
        <v>2255850.69</v>
      </c>
      <c r="G70" s="11">
        <v>0</v>
      </c>
      <c r="H70" s="11">
        <v>0</v>
      </c>
      <c r="I70" s="11">
        <v>0</v>
      </c>
      <c r="J70" s="11">
        <v>2255850.69</v>
      </c>
      <c r="K70" s="11">
        <v>0</v>
      </c>
    </row>
    <row r="71" spans="1:17" outlineLevel="1" x14ac:dyDescent="0.3">
      <c r="A71" s="2" t="s">
        <v>191</v>
      </c>
      <c r="B71" s="3" t="s">
        <v>192</v>
      </c>
      <c r="C71" s="27">
        <f t="shared" ca="1" si="45"/>
        <v>1685</v>
      </c>
      <c r="D71" s="11" t="s">
        <v>182</v>
      </c>
      <c r="E71" s="11"/>
      <c r="F71" s="11">
        <f t="shared" si="27"/>
        <v>701863.4</v>
      </c>
      <c r="G71" s="11">
        <v>0</v>
      </c>
      <c r="H71" s="11">
        <v>0</v>
      </c>
      <c r="I71" s="11">
        <v>0</v>
      </c>
      <c r="J71" s="11">
        <v>701863.4</v>
      </c>
      <c r="K71" s="11">
        <v>0</v>
      </c>
    </row>
    <row r="72" spans="1:17" outlineLevel="1" x14ac:dyDescent="0.3">
      <c r="A72" s="2" t="s">
        <v>193</v>
      </c>
      <c r="B72" s="3" t="s">
        <v>194</v>
      </c>
      <c r="C72" s="27">
        <f t="shared" ca="1" si="45"/>
        <v>1652</v>
      </c>
      <c r="D72" s="11" t="s">
        <v>182</v>
      </c>
      <c r="E72" s="11"/>
      <c r="F72" s="11">
        <f t="shared" si="27"/>
        <v>617274</v>
      </c>
      <c r="G72" s="11">
        <v>0</v>
      </c>
      <c r="H72" s="11">
        <v>0</v>
      </c>
      <c r="I72" s="11">
        <v>0</v>
      </c>
      <c r="J72" s="11">
        <v>617274</v>
      </c>
      <c r="K72" s="11">
        <v>0</v>
      </c>
    </row>
    <row r="73" spans="1:17" outlineLevel="1" x14ac:dyDescent="0.3">
      <c r="A73" s="2" t="s">
        <v>195</v>
      </c>
      <c r="B73" s="3" t="s">
        <v>196</v>
      </c>
      <c r="C73" s="27">
        <f t="shared" ca="1" si="45"/>
        <v>1623</v>
      </c>
      <c r="D73" s="11" t="s">
        <v>182</v>
      </c>
      <c r="E73" s="11"/>
      <c r="F73" s="11">
        <f t="shared" si="27"/>
        <v>617274</v>
      </c>
      <c r="G73" s="11">
        <v>0</v>
      </c>
      <c r="H73" s="11">
        <v>0</v>
      </c>
      <c r="I73" s="11">
        <v>0</v>
      </c>
      <c r="J73" s="11">
        <v>617274</v>
      </c>
      <c r="K73" s="11">
        <v>0</v>
      </c>
    </row>
    <row r="74" spans="1:17" outlineLevel="1" x14ac:dyDescent="0.3">
      <c r="A74" s="2" t="s">
        <v>197</v>
      </c>
      <c r="B74" s="3" t="s">
        <v>198</v>
      </c>
      <c r="C74" s="27">
        <f t="shared" ca="1" si="45"/>
        <v>1594</v>
      </c>
      <c r="D74" s="11" t="s">
        <v>182</v>
      </c>
      <c r="E74" s="11"/>
      <c r="F74" s="11">
        <f t="shared" si="27"/>
        <v>514395</v>
      </c>
      <c r="G74" s="11">
        <v>0</v>
      </c>
      <c r="H74" s="11">
        <v>0</v>
      </c>
      <c r="I74" s="11">
        <v>0</v>
      </c>
      <c r="J74" s="11">
        <v>514395</v>
      </c>
      <c r="K74" s="11">
        <v>0</v>
      </c>
    </row>
    <row r="75" spans="1:17" outlineLevel="1" x14ac:dyDescent="0.3">
      <c r="A75" s="2" t="s">
        <v>199</v>
      </c>
      <c r="B75" s="3" t="s">
        <v>200</v>
      </c>
      <c r="C75" s="27">
        <f t="shared" ca="1" si="45"/>
        <v>1561</v>
      </c>
      <c r="D75" s="11" t="s">
        <v>182</v>
      </c>
      <c r="E75" s="11"/>
      <c r="F75" s="11">
        <f t="shared" si="27"/>
        <v>514395</v>
      </c>
      <c r="G75" s="11">
        <v>0</v>
      </c>
      <c r="H75" s="11">
        <v>0</v>
      </c>
      <c r="I75" s="11">
        <v>0</v>
      </c>
      <c r="J75" s="11">
        <v>514395</v>
      </c>
      <c r="K75" s="11">
        <v>0</v>
      </c>
    </row>
    <row r="76" spans="1:17" outlineLevel="1" x14ac:dyDescent="0.3">
      <c r="A76" s="2" t="s">
        <v>201</v>
      </c>
      <c r="B76" s="3" t="s">
        <v>202</v>
      </c>
      <c r="C76" s="27">
        <f t="shared" ca="1" si="45"/>
        <v>1533</v>
      </c>
      <c r="D76" s="11" t="s">
        <v>182</v>
      </c>
      <c r="E76" s="11"/>
      <c r="F76" s="11">
        <f t="shared" si="27"/>
        <v>514395</v>
      </c>
      <c r="G76" s="11">
        <v>0</v>
      </c>
      <c r="H76" s="11">
        <v>0</v>
      </c>
      <c r="I76" s="11">
        <v>0</v>
      </c>
      <c r="J76" s="11">
        <v>514395</v>
      </c>
      <c r="K76" s="11">
        <v>0</v>
      </c>
    </row>
    <row r="77" spans="1:17" outlineLevel="1" x14ac:dyDescent="0.3">
      <c r="A77" s="2" t="s">
        <v>203</v>
      </c>
      <c r="B77" s="3" t="s">
        <v>204</v>
      </c>
      <c r="C77" s="27">
        <f t="shared" ca="1" si="45"/>
        <v>795</v>
      </c>
      <c r="D77" s="11" t="s">
        <v>182</v>
      </c>
      <c r="E77" s="11"/>
      <c r="F77" s="11">
        <f t="shared" si="27"/>
        <v>3619204</v>
      </c>
      <c r="G77" s="11">
        <v>0</v>
      </c>
      <c r="H77" s="11">
        <v>0</v>
      </c>
      <c r="I77" s="11">
        <v>0</v>
      </c>
      <c r="J77" s="11">
        <v>3619204</v>
      </c>
      <c r="K77" s="11">
        <v>0</v>
      </c>
    </row>
    <row r="78" spans="1:17" outlineLevel="1" x14ac:dyDescent="0.3">
      <c r="A78" s="2" t="s">
        <v>205</v>
      </c>
      <c r="B78" s="3" t="s">
        <v>206</v>
      </c>
      <c r="C78" s="3"/>
      <c r="D78" s="11" t="s">
        <v>182</v>
      </c>
      <c r="E78" s="11"/>
      <c r="F78" s="11">
        <f t="shared" si="27"/>
        <v>1529873.52</v>
      </c>
      <c r="G78" s="11">
        <v>1529873.52</v>
      </c>
      <c r="H78" s="11">
        <v>0</v>
      </c>
      <c r="I78" s="11">
        <v>0</v>
      </c>
      <c r="J78" s="11">
        <v>0</v>
      </c>
      <c r="K78" s="11">
        <v>0</v>
      </c>
    </row>
    <row r="79" spans="1:17" outlineLevel="1" x14ac:dyDescent="0.3">
      <c r="A79" s="2" t="s">
        <v>207</v>
      </c>
      <c r="B79" s="3" t="s">
        <v>208</v>
      </c>
      <c r="C79" s="3"/>
      <c r="D79" s="11" t="s">
        <v>182</v>
      </c>
      <c r="E79" s="11"/>
      <c r="F79" s="11">
        <f t="shared" si="27"/>
        <v>1483805.9</v>
      </c>
      <c r="G79" s="11">
        <v>0</v>
      </c>
      <c r="H79" s="11">
        <v>0</v>
      </c>
      <c r="I79" s="11">
        <v>0</v>
      </c>
      <c r="J79" s="11">
        <v>0</v>
      </c>
      <c r="K79" s="11">
        <v>1483805.9</v>
      </c>
    </row>
    <row r="80" spans="1:17" outlineLevel="1" x14ac:dyDescent="0.3">
      <c r="A80" s="2" t="s">
        <v>209</v>
      </c>
      <c r="B80" s="3" t="s">
        <v>180</v>
      </c>
      <c r="C80" s="3"/>
      <c r="D80" s="11" t="s">
        <v>182</v>
      </c>
      <c r="E80" s="11"/>
      <c r="F80" s="11">
        <f t="shared" si="27"/>
        <v>4898166.4800000004</v>
      </c>
      <c r="G80" s="11">
        <v>0</v>
      </c>
      <c r="H80" s="11">
        <v>0</v>
      </c>
      <c r="I80" s="11">
        <v>0</v>
      </c>
      <c r="J80" s="11">
        <v>0</v>
      </c>
      <c r="K80" s="11">
        <v>4898166.4800000004</v>
      </c>
    </row>
    <row r="81" spans="1:17" s="10" customFormat="1" x14ac:dyDescent="0.3">
      <c r="A81" s="7"/>
      <c r="B81" s="8"/>
      <c r="C81" s="8"/>
      <c r="D81" s="12" t="s">
        <v>304</v>
      </c>
      <c r="E81" s="33">
        <f>IF($F$195=0,0,F81/$F$195)</f>
        <v>3.9280479656732342E-2</v>
      </c>
      <c r="F81" s="13">
        <f t="shared" ref="F81:K81" si="46">SUBTOTAL(9,F67:F80)</f>
        <v>19087032.490000002</v>
      </c>
      <c r="G81" s="13">
        <f t="shared" si="46"/>
        <v>1529873.52</v>
      </c>
      <c r="H81" s="13">
        <f t="shared" si="46"/>
        <v>0</v>
      </c>
      <c r="I81" s="13">
        <f t="shared" si="46"/>
        <v>0</v>
      </c>
      <c r="J81" s="13">
        <f t="shared" si="46"/>
        <v>11175186.59</v>
      </c>
      <c r="K81" s="13">
        <f t="shared" si="46"/>
        <v>6381972.3800000008</v>
      </c>
      <c r="L81" s="9"/>
      <c r="M81" s="9"/>
      <c r="N81" s="9"/>
      <c r="O81" s="9"/>
      <c r="P81" s="9"/>
      <c r="Q81" s="9"/>
    </row>
    <row r="82" spans="1:17" outlineLevel="1" x14ac:dyDescent="0.3">
      <c r="A82" s="2" t="s">
        <v>211</v>
      </c>
      <c r="B82" s="3" t="s">
        <v>212</v>
      </c>
      <c r="C82" s="27">
        <f t="shared" ref="C82:C95" ca="1" si="47">TODAY()-B82</f>
        <v>463</v>
      </c>
      <c r="D82" s="11" t="s">
        <v>210</v>
      </c>
      <c r="E82" s="11"/>
      <c r="F82" s="11">
        <f t="shared" si="27"/>
        <v>128445.66</v>
      </c>
      <c r="G82" s="11">
        <v>0</v>
      </c>
      <c r="H82" s="11">
        <v>0</v>
      </c>
      <c r="I82" s="11">
        <v>0</v>
      </c>
      <c r="J82" s="11">
        <v>128445.66</v>
      </c>
      <c r="K82" s="11">
        <v>0</v>
      </c>
    </row>
    <row r="83" spans="1:17" outlineLevel="1" x14ac:dyDescent="0.3">
      <c r="A83" s="2" t="s">
        <v>213</v>
      </c>
      <c r="B83" s="3" t="s">
        <v>214</v>
      </c>
      <c r="C83" s="27">
        <f t="shared" ca="1" si="47"/>
        <v>440</v>
      </c>
      <c r="D83" s="11" t="s">
        <v>210</v>
      </c>
      <c r="E83" s="11"/>
      <c r="F83" s="11">
        <f t="shared" si="27"/>
        <v>461603.98</v>
      </c>
      <c r="G83" s="11">
        <v>0</v>
      </c>
      <c r="H83" s="11">
        <v>0</v>
      </c>
      <c r="I83" s="11">
        <v>0</v>
      </c>
      <c r="J83" s="11">
        <v>461603.98</v>
      </c>
      <c r="K83" s="11">
        <v>0</v>
      </c>
    </row>
    <row r="84" spans="1:17" outlineLevel="1" x14ac:dyDescent="0.3">
      <c r="A84" s="2" t="s">
        <v>215</v>
      </c>
      <c r="B84" s="3" t="s">
        <v>48</v>
      </c>
      <c r="C84" s="27">
        <f t="shared" ca="1" si="47"/>
        <v>404</v>
      </c>
      <c r="D84" s="11" t="s">
        <v>210</v>
      </c>
      <c r="E84" s="11"/>
      <c r="F84" s="11">
        <f t="shared" si="27"/>
        <v>404671.9</v>
      </c>
      <c r="G84" s="11">
        <v>0</v>
      </c>
      <c r="H84" s="11">
        <v>0</v>
      </c>
      <c r="I84" s="11">
        <v>0</v>
      </c>
      <c r="J84" s="11">
        <v>404671.9</v>
      </c>
      <c r="K84" s="11">
        <v>0</v>
      </c>
    </row>
    <row r="85" spans="1:17" outlineLevel="1" x14ac:dyDescent="0.3">
      <c r="A85" s="2" t="s">
        <v>216</v>
      </c>
      <c r="B85" s="3" t="s">
        <v>50</v>
      </c>
      <c r="C85" s="27">
        <f t="shared" ca="1" si="47"/>
        <v>372</v>
      </c>
      <c r="D85" s="11" t="s">
        <v>210</v>
      </c>
      <c r="E85" s="11"/>
      <c r="F85" s="11">
        <f t="shared" si="27"/>
        <v>404671.9</v>
      </c>
      <c r="G85" s="11">
        <v>0</v>
      </c>
      <c r="H85" s="11">
        <v>0</v>
      </c>
      <c r="I85" s="11">
        <v>0</v>
      </c>
      <c r="J85" s="11">
        <v>404671.9</v>
      </c>
      <c r="K85" s="11">
        <v>0</v>
      </c>
    </row>
    <row r="86" spans="1:17" outlineLevel="1" x14ac:dyDescent="0.3">
      <c r="A86" s="2" t="s">
        <v>217</v>
      </c>
      <c r="B86" s="3" t="s">
        <v>52</v>
      </c>
      <c r="C86" s="27">
        <f t="shared" ca="1" si="47"/>
        <v>347</v>
      </c>
      <c r="D86" s="11" t="s">
        <v>210</v>
      </c>
      <c r="E86" s="11"/>
      <c r="F86" s="11">
        <f t="shared" si="27"/>
        <v>485606.28</v>
      </c>
      <c r="G86" s="11">
        <v>0</v>
      </c>
      <c r="H86" s="11">
        <v>0</v>
      </c>
      <c r="I86" s="11">
        <v>0</v>
      </c>
      <c r="J86" s="11">
        <v>485606.28</v>
      </c>
      <c r="K86" s="11">
        <v>0</v>
      </c>
    </row>
    <row r="87" spans="1:17" outlineLevel="1" x14ac:dyDescent="0.3">
      <c r="A87" s="2" t="s">
        <v>218</v>
      </c>
      <c r="B87" s="3" t="s">
        <v>54</v>
      </c>
      <c r="C87" s="27">
        <f t="shared" ca="1" si="47"/>
        <v>313</v>
      </c>
      <c r="D87" s="11" t="s">
        <v>210</v>
      </c>
      <c r="E87" s="11"/>
      <c r="F87" s="11">
        <f t="shared" si="27"/>
        <v>485606.28</v>
      </c>
      <c r="G87" s="11">
        <v>0</v>
      </c>
      <c r="H87" s="11">
        <v>0</v>
      </c>
      <c r="I87" s="11">
        <v>0</v>
      </c>
      <c r="J87" s="11">
        <v>485606.28</v>
      </c>
      <c r="K87" s="11">
        <v>0</v>
      </c>
    </row>
    <row r="88" spans="1:17" outlineLevel="1" x14ac:dyDescent="0.3">
      <c r="A88" s="2" t="s">
        <v>219</v>
      </c>
      <c r="B88" s="3" t="s">
        <v>56</v>
      </c>
      <c r="C88" s="27">
        <f t="shared" ca="1" si="47"/>
        <v>284</v>
      </c>
      <c r="D88" s="11" t="s">
        <v>210</v>
      </c>
      <c r="E88" s="11"/>
      <c r="F88" s="11">
        <f t="shared" si="27"/>
        <v>404671.9</v>
      </c>
      <c r="G88" s="11">
        <v>0</v>
      </c>
      <c r="H88" s="11">
        <v>0</v>
      </c>
      <c r="I88" s="11">
        <v>0</v>
      </c>
      <c r="J88" s="11">
        <v>404671.9</v>
      </c>
      <c r="K88" s="11">
        <v>0</v>
      </c>
    </row>
    <row r="89" spans="1:17" outlineLevel="1" x14ac:dyDescent="0.3">
      <c r="A89" s="2" t="s">
        <v>220</v>
      </c>
      <c r="B89" s="3" t="s">
        <v>58</v>
      </c>
      <c r="C89" s="27">
        <f t="shared" ca="1" si="47"/>
        <v>256</v>
      </c>
      <c r="D89" s="11" t="s">
        <v>210</v>
      </c>
      <c r="E89" s="11"/>
      <c r="F89" s="11">
        <f t="shared" si="27"/>
        <v>404671.9</v>
      </c>
      <c r="G89" s="11">
        <v>0</v>
      </c>
      <c r="H89" s="11">
        <v>0</v>
      </c>
      <c r="I89" s="11">
        <v>0</v>
      </c>
      <c r="J89" s="11">
        <v>404671.9</v>
      </c>
      <c r="K89" s="11">
        <v>0</v>
      </c>
    </row>
    <row r="90" spans="1:17" outlineLevel="1" x14ac:dyDescent="0.3">
      <c r="A90" s="2" t="s">
        <v>221</v>
      </c>
      <c r="B90" s="3" t="s">
        <v>60</v>
      </c>
      <c r="C90" s="27">
        <f t="shared" ca="1" si="47"/>
        <v>224</v>
      </c>
      <c r="D90" s="11" t="s">
        <v>210</v>
      </c>
      <c r="E90" s="11"/>
      <c r="F90" s="11">
        <f t="shared" si="27"/>
        <v>404671.9</v>
      </c>
      <c r="G90" s="11">
        <v>0</v>
      </c>
      <c r="H90" s="11">
        <v>0</v>
      </c>
      <c r="I90" s="11">
        <v>0</v>
      </c>
      <c r="J90" s="11">
        <v>404671.9</v>
      </c>
      <c r="K90" s="11">
        <v>0</v>
      </c>
    </row>
    <row r="91" spans="1:17" outlineLevel="1" x14ac:dyDescent="0.3">
      <c r="A91" s="2" t="s">
        <v>222</v>
      </c>
      <c r="B91" s="3" t="s">
        <v>223</v>
      </c>
      <c r="C91" s="27">
        <f t="shared" ca="1" si="47"/>
        <v>178</v>
      </c>
      <c r="D91" s="11" t="s">
        <v>210</v>
      </c>
      <c r="E91" s="11"/>
      <c r="F91" s="11">
        <f t="shared" si="27"/>
        <v>404671.9</v>
      </c>
      <c r="G91" s="11">
        <v>0</v>
      </c>
      <c r="H91" s="11">
        <v>0</v>
      </c>
      <c r="I91" s="11">
        <v>0</v>
      </c>
      <c r="J91" s="11">
        <v>404671.9</v>
      </c>
      <c r="K91" s="11">
        <v>0</v>
      </c>
    </row>
    <row r="92" spans="1:17" outlineLevel="1" x14ac:dyDescent="0.3">
      <c r="A92" s="2" t="s">
        <v>224</v>
      </c>
      <c r="B92" s="3" t="s">
        <v>225</v>
      </c>
      <c r="C92" s="27">
        <f t="shared" ca="1" si="47"/>
        <v>146</v>
      </c>
      <c r="D92" s="11" t="s">
        <v>210</v>
      </c>
      <c r="E92" s="11"/>
      <c r="F92" s="11">
        <f t="shared" si="27"/>
        <v>404671.9</v>
      </c>
      <c r="G92" s="11">
        <v>0</v>
      </c>
      <c r="H92" s="11">
        <v>0</v>
      </c>
      <c r="I92" s="11">
        <v>0</v>
      </c>
      <c r="J92" s="11">
        <v>404671.9</v>
      </c>
      <c r="K92" s="11">
        <v>0</v>
      </c>
    </row>
    <row r="93" spans="1:17" outlineLevel="1" x14ac:dyDescent="0.3">
      <c r="A93" s="2" t="s">
        <v>226</v>
      </c>
      <c r="B93" s="3" t="s">
        <v>227</v>
      </c>
      <c r="C93" s="27">
        <f t="shared" ca="1" si="47"/>
        <v>116</v>
      </c>
      <c r="D93" s="11" t="s">
        <v>210</v>
      </c>
      <c r="E93" s="11"/>
      <c r="F93" s="11">
        <f t="shared" si="27"/>
        <v>404671.9</v>
      </c>
      <c r="G93" s="11">
        <v>0</v>
      </c>
      <c r="H93" s="11">
        <v>0</v>
      </c>
      <c r="I93" s="11">
        <v>0</v>
      </c>
      <c r="J93" s="11">
        <v>404671.9</v>
      </c>
      <c r="K93" s="11">
        <v>0</v>
      </c>
    </row>
    <row r="94" spans="1:17" outlineLevel="1" x14ac:dyDescent="0.3">
      <c r="A94" s="2" t="s">
        <v>228</v>
      </c>
      <c r="B94" s="3" t="s">
        <v>229</v>
      </c>
      <c r="C94" s="27">
        <f t="shared" ca="1" si="47"/>
        <v>87</v>
      </c>
      <c r="D94" s="11" t="s">
        <v>210</v>
      </c>
      <c r="E94" s="11"/>
      <c r="F94" s="11">
        <f t="shared" si="27"/>
        <v>485606.28</v>
      </c>
      <c r="G94" s="11">
        <v>0</v>
      </c>
      <c r="H94" s="11">
        <v>0</v>
      </c>
      <c r="I94" s="11">
        <v>485606.28</v>
      </c>
      <c r="J94" s="11">
        <v>0</v>
      </c>
      <c r="K94" s="11">
        <v>0</v>
      </c>
    </row>
    <row r="95" spans="1:17" outlineLevel="1" x14ac:dyDescent="0.3">
      <c r="A95" s="2" t="s">
        <v>230</v>
      </c>
      <c r="B95" s="3" t="s">
        <v>18</v>
      </c>
      <c r="C95" s="27">
        <f t="shared" ca="1" si="47"/>
        <v>56</v>
      </c>
      <c r="D95" s="11" t="s">
        <v>210</v>
      </c>
      <c r="E95" s="11"/>
      <c r="F95" s="11">
        <f t="shared" si="27"/>
        <v>485606.28</v>
      </c>
      <c r="G95" s="11">
        <v>0</v>
      </c>
      <c r="H95" s="11">
        <v>485606.28</v>
      </c>
      <c r="I95" s="11">
        <v>0</v>
      </c>
      <c r="J95" s="11">
        <v>0</v>
      </c>
      <c r="K95" s="11">
        <v>0</v>
      </c>
    </row>
    <row r="96" spans="1:17" outlineLevel="1" x14ac:dyDescent="0.3">
      <c r="A96" s="2" t="s">
        <v>231</v>
      </c>
      <c r="B96" s="3" t="s">
        <v>63</v>
      </c>
      <c r="C96" s="3"/>
      <c r="D96" s="11" t="s">
        <v>210</v>
      </c>
      <c r="E96" s="11"/>
      <c r="F96" s="11">
        <f t="shared" ref="F96:F97" si="48">SUM(G96:K96)</f>
        <v>346719.91</v>
      </c>
      <c r="G96" s="11">
        <v>346719.91</v>
      </c>
      <c r="H96" s="11">
        <v>0</v>
      </c>
      <c r="I96" s="11">
        <v>0</v>
      </c>
      <c r="J96" s="11">
        <v>0</v>
      </c>
      <c r="K96" s="11">
        <v>0</v>
      </c>
    </row>
    <row r="97" spans="1:17" outlineLevel="1" x14ac:dyDescent="0.3">
      <c r="A97" s="2" t="s">
        <v>232</v>
      </c>
      <c r="B97" s="3" t="s">
        <v>27</v>
      </c>
      <c r="C97" s="3"/>
      <c r="D97" s="11" t="s">
        <v>210</v>
      </c>
      <c r="E97" s="11"/>
      <c r="F97" s="11">
        <f t="shared" si="48"/>
        <v>346719.91</v>
      </c>
      <c r="G97" s="11">
        <v>0</v>
      </c>
      <c r="H97" s="11">
        <v>0</v>
      </c>
      <c r="I97" s="11">
        <v>0</v>
      </c>
      <c r="J97" s="11">
        <v>0</v>
      </c>
      <c r="K97" s="11">
        <v>346719.91</v>
      </c>
    </row>
    <row r="98" spans="1:17" s="10" customFormat="1" x14ac:dyDescent="0.3">
      <c r="A98" s="7"/>
      <c r="B98" s="8"/>
      <c r="C98" s="8"/>
      <c r="D98" s="12" t="s">
        <v>305</v>
      </c>
      <c r="E98" s="33">
        <f>IF($F$195=0,0,F98/$F$195)</f>
        <v>1.3301235949164358E-2</v>
      </c>
      <c r="F98" s="13">
        <f>SUBTOTAL(9,F82:F97)</f>
        <v>6463289.7800000012</v>
      </c>
      <c r="G98" s="13">
        <f t="shared" ref="G98" si="49">SUBTOTAL(9,G80:G97)</f>
        <v>346719.91</v>
      </c>
      <c r="H98" s="13">
        <f t="shared" ref="H98" si="50">SUBTOTAL(9,H80:H97)</f>
        <v>485606.28</v>
      </c>
      <c r="I98" s="13">
        <f t="shared" ref="I98" si="51">SUBTOTAL(9,I80:I97)</f>
        <v>485606.28</v>
      </c>
      <c r="J98" s="13">
        <f t="shared" ref="J98" si="52">SUBTOTAL(9,J80:J97)</f>
        <v>4798637.4000000004</v>
      </c>
      <c r="K98" s="13">
        <f t="shared" ref="K98" si="53">SUBTOTAL(9,K80:K97)</f>
        <v>5244886.3900000006</v>
      </c>
      <c r="L98" s="9"/>
      <c r="M98" s="9"/>
      <c r="N98" s="9"/>
      <c r="O98" s="9"/>
      <c r="P98" s="9"/>
      <c r="Q98" s="9"/>
    </row>
    <row r="99" spans="1:17" s="10" customFormat="1" outlineLevel="1" x14ac:dyDescent="0.3">
      <c r="A99" s="2" t="s">
        <v>236</v>
      </c>
      <c r="B99" s="3" t="s">
        <v>237</v>
      </c>
      <c r="C99" s="27">
        <f t="shared" ref="C99:C103" ca="1" si="54">TODAY()-B99</f>
        <v>142</v>
      </c>
      <c r="D99" s="11" t="s">
        <v>306</v>
      </c>
      <c r="E99" s="11"/>
      <c r="F99" s="11">
        <f>SUM(G99:K99)</f>
        <v>4037517</v>
      </c>
      <c r="G99" s="11">
        <v>0</v>
      </c>
      <c r="H99" s="11">
        <v>0</v>
      </c>
      <c r="I99" s="11">
        <v>0</v>
      </c>
      <c r="J99" s="11">
        <v>4037517</v>
      </c>
      <c r="K99" s="11">
        <v>0</v>
      </c>
      <c r="L99" s="9"/>
      <c r="M99" s="9"/>
      <c r="N99" s="9"/>
      <c r="O99" s="9"/>
      <c r="P99" s="9"/>
      <c r="Q99" s="9"/>
    </row>
    <row r="100" spans="1:17" s="10" customFormat="1" outlineLevel="1" x14ac:dyDescent="0.3">
      <c r="A100" s="2" t="s">
        <v>243</v>
      </c>
      <c r="B100" s="3" t="s">
        <v>104</v>
      </c>
      <c r="C100" s="27">
        <f t="shared" ca="1" si="54"/>
        <v>115</v>
      </c>
      <c r="D100" s="11" t="s">
        <v>306</v>
      </c>
      <c r="E100" s="11"/>
      <c r="F100" s="11">
        <f t="shared" ref="F100:F106" si="55">SUM(G100:K100)</f>
        <v>2862966.6</v>
      </c>
      <c r="G100" s="11">
        <v>0</v>
      </c>
      <c r="H100" s="11">
        <v>0</v>
      </c>
      <c r="I100" s="11">
        <v>0</v>
      </c>
      <c r="J100" s="11">
        <v>2862966.6</v>
      </c>
      <c r="K100" s="11">
        <v>0</v>
      </c>
      <c r="L100" s="9"/>
      <c r="M100" s="9"/>
      <c r="N100" s="9"/>
      <c r="O100" s="9"/>
      <c r="P100" s="9"/>
      <c r="Q100" s="9"/>
    </row>
    <row r="101" spans="1:17" s="10" customFormat="1" outlineLevel="1" x14ac:dyDescent="0.3">
      <c r="A101" s="2" t="s">
        <v>246</v>
      </c>
      <c r="B101" s="3" t="s">
        <v>229</v>
      </c>
      <c r="C101" s="27">
        <f t="shared" ca="1" si="54"/>
        <v>87</v>
      </c>
      <c r="D101" s="11" t="s">
        <v>306</v>
      </c>
      <c r="E101" s="11"/>
      <c r="F101" s="11">
        <f t="shared" si="55"/>
        <v>30153.599999999999</v>
      </c>
      <c r="G101" s="11">
        <v>0</v>
      </c>
      <c r="H101" s="11">
        <v>0</v>
      </c>
      <c r="I101" s="11">
        <v>30153.599999999999</v>
      </c>
      <c r="J101" s="11">
        <v>0</v>
      </c>
      <c r="K101" s="11">
        <v>0</v>
      </c>
      <c r="L101" s="9"/>
      <c r="M101" s="9"/>
      <c r="N101" s="9"/>
      <c r="O101" s="9"/>
      <c r="P101" s="9"/>
      <c r="Q101" s="9"/>
    </row>
    <row r="102" spans="1:17" s="10" customFormat="1" outlineLevel="1" x14ac:dyDescent="0.3">
      <c r="A102" s="2" t="s">
        <v>251</v>
      </c>
      <c r="B102" s="3" t="s">
        <v>104</v>
      </c>
      <c r="C102" s="27">
        <f t="shared" ca="1" si="54"/>
        <v>115</v>
      </c>
      <c r="D102" s="11" t="s">
        <v>306</v>
      </c>
      <c r="E102" s="11"/>
      <c r="F102" s="11">
        <f t="shared" si="55"/>
        <v>5505705</v>
      </c>
      <c r="G102" s="11">
        <v>0</v>
      </c>
      <c r="H102" s="11">
        <v>0</v>
      </c>
      <c r="I102" s="11">
        <v>0</v>
      </c>
      <c r="J102" s="11">
        <v>5505705</v>
      </c>
      <c r="K102" s="11">
        <v>0</v>
      </c>
      <c r="L102" s="9"/>
      <c r="M102" s="9"/>
      <c r="N102" s="9"/>
      <c r="O102" s="9"/>
      <c r="P102" s="9"/>
      <c r="Q102" s="9"/>
    </row>
    <row r="103" spans="1:17" s="10" customFormat="1" outlineLevel="1" x14ac:dyDescent="0.3">
      <c r="A103" s="2" t="s">
        <v>256</v>
      </c>
      <c r="B103" s="3" t="s">
        <v>89</v>
      </c>
      <c r="C103" s="27">
        <f t="shared" ca="1" si="54"/>
        <v>51</v>
      </c>
      <c r="D103" s="11" t="s">
        <v>306</v>
      </c>
      <c r="E103" s="11"/>
      <c r="F103" s="11">
        <f t="shared" si="55"/>
        <v>23871.599999999999</v>
      </c>
      <c r="G103" s="11">
        <v>0</v>
      </c>
      <c r="H103" s="11">
        <v>23871.599999999999</v>
      </c>
      <c r="I103" s="11">
        <v>0</v>
      </c>
      <c r="J103" s="11">
        <v>0</v>
      </c>
      <c r="K103" s="11">
        <v>0</v>
      </c>
      <c r="L103" s="9"/>
      <c r="M103" s="9"/>
      <c r="N103" s="9"/>
      <c r="O103" s="9"/>
      <c r="P103" s="9"/>
      <c r="Q103" s="9"/>
    </row>
    <row r="104" spans="1:17" s="10" customFormat="1" outlineLevel="1" x14ac:dyDescent="0.3">
      <c r="A104" s="2" t="s">
        <v>260</v>
      </c>
      <c r="B104" s="3" t="s">
        <v>175</v>
      </c>
      <c r="C104" s="3"/>
      <c r="D104" s="11" t="s">
        <v>306</v>
      </c>
      <c r="E104" s="11"/>
      <c r="F104" s="11">
        <f t="shared" si="55"/>
        <v>8368671.5999999996</v>
      </c>
      <c r="G104" s="11">
        <v>8368671.5999999996</v>
      </c>
      <c r="H104" s="11">
        <v>0</v>
      </c>
      <c r="I104" s="11">
        <v>0</v>
      </c>
      <c r="J104" s="11">
        <v>0</v>
      </c>
      <c r="K104" s="11">
        <v>0</v>
      </c>
      <c r="L104" s="9"/>
      <c r="M104" s="9"/>
      <c r="N104" s="9"/>
      <c r="O104" s="9"/>
      <c r="P104" s="9"/>
      <c r="Q104" s="9"/>
    </row>
    <row r="105" spans="1:17" s="10" customFormat="1" outlineLevel="1" x14ac:dyDescent="0.3">
      <c r="A105" s="2" t="s">
        <v>264</v>
      </c>
      <c r="B105" s="3" t="s">
        <v>262</v>
      </c>
      <c r="C105" s="3"/>
      <c r="D105" s="11" t="s">
        <v>306</v>
      </c>
      <c r="E105" s="11"/>
      <c r="F105" s="11">
        <f t="shared" si="55"/>
        <v>8368671.5999999996</v>
      </c>
      <c r="G105" s="11">
        <v>0</v>
      </c>
      <c r="H105" s="11">
        <v>0</v>
      </c>
      <c r="I105" s="11">
        <v>0</v>
      </c>
      <c r="J105" s="11">
        <v>0</v>
      </c>
      <c r="K105" s="11">
        <v>8368671.5999999996</v>
      </c>
      <c r="L105" s="9"/>
      <c r="M105" s="9"/>
      <c r="N105" s="9"/>
      <c r="O105" s="9"/>
      <c r="P105" s="9"/>
      <c r="Q105" s="9"/>
    </row>
    <row r="106" spans="1:17" s="10" customFormat="1" outlineLevel="1" x14ac:dyDescent="0.3">
      <c r="A106" s="2" t="s">
        <v>269</v>
      </c>
      <c r="B106" s="3" t="s">
        <v>267</v>
      </c>
      <c r="C106" s="3"/>
      <c r="D106" s="11" t="s">
        <v>306</v>
      </c>
      <c r="E106" s="11"/>
      <c r="F106" s="11">
        <f t="shared" si="55"/>
        <v>8416255.1999999993</v>
      </c>
      <c r="G106" s="11">
        <v>0</v>
      </c>
      <c r="H106" s="11">
        <v>0</v>
      </c>
      <c r="I106" s="11">
        <v>0</v>
      </c>
      <c r="J106" s="11">
        <v>0</v>
      </c>
      <c r="K106" s="11">
        <v>8416255.1999999993</v>
      </c>
      <c r="L106" s="9"/>
      <c r="M106" s="9"/>
      <c r="N106" s="9"/>
      <c r="O106" s="9"/>
      <c r="P106" s="9"/>
      <c r="Q106" s="9"/>
    </row>
    <row r="107" spans="1:17" s="10" customFormat="1" x14ac:dyDescent="0.3">
      <c r="A107" s="7"/>
      <c r="B107" s="8"/>
      <c r="C107" s="8"/>
      <c r="D107" s="12" t="s">
        <v>307</v>
      </c>
      <c r="E107" s="33">
        <f>IF($F$195=0,0,F107/$F$195)</f>
        <v>7.7407977678475196E-2</v>
      </c>
      <c r="F107" s="13">
        <f>SUBTOTAL(9,F99:F106)</f>
        <v>37613812.200000003</v>
      </c>
      <c r="G107" s="13">
        <f t="shared" ref="G107:K107" si="56">SUBTOTAL(9,G99:G106)</f>
        <v>8368671.5999999996</v>
      </c>
      <c r="H107" s="13">
        <f t="shared" si="56"/>
        <v>23871.599999999999</v>
      </c>
      <c r="I107" s="13">
        <f t="shared" si="56"/>
        <v>30153.599999999999</v>
      </c>
      <c r="J107" s="13">
        <f t="shared" si="56"/>
        <v>12406188.6</v>
      </c>
      <c r="K107" s="13">
        <f t="shared" si="56"/>
        <v>16784926.799999997</v>
      </c>
      <c r="L107" s="9"/>
      <c r="M107" s="9"/>
      <c r="N107" s="9"/>
      <c r="O107" s="9"/>
      <c r="P107" s="9"/>
      <c r="Q107" s="9"/>
    </row>
    <row r="108" spans="1:17" s="10" customFormat="1" outlineLevel="1" x14ac:dyDescent="0.3">
      <c r="A108" s="2" t="s">
        <v>234</v>
      </c>
      <c r="B108" s="3" t="s">
        <v>235</v>
      </c>
      <c r="C108" s="27">
        <f t="shared" ref="C108:C112" ca="1" si="57">TODAY()-B108</f>
        <v>151</v>
      </c>
      <c r="D108" s="11" t="s">
        <v>308</v>
      </c>
      <c r="E108" s="11"/>
      <c r="F108" s="11">
        <f t="shared" ref="F108:F115" si="58">SUM(G108:K108)</f>
        <v>2202282</v>
      </c>
      <c r="G108" s="11">
        <v>0</v>
      </c>
      <c r="H108" s="11">
        <v>0</v>
      </c>
      <c r="I108" s="11">
        <v>0</v>
      </c>
      <c r="J108" s="11">
        <v>2202282</v>
      </c>
      <c r="K108" s="11">
        <v>0</v>
      </c>
      <c r="L108" s="9"/>
      <c r="M108" s="9"/>
      <c r="N108" s="9"/>
      <c r="O108" s="9"/>
      <c r="P108" s="9"/>
      <c r="Q108" s="9"/>
    </row>
    <row r="109" spans="1:17" s="10" customFormat="1" outlineLevel="1" x14ac:dyDescent="0.3">
      <c r="A109" s="2" t="s">
        <v>242</v>
      </c>
      <c r="B109" s="3" t="s">
        <v>104</v>
      </c>
      <c r="C109" s="27">
        <f t="shared" ca="1" si="57"/>
        <v>115</v>
      </c>
      <c r="D109" s="11" t="s">
        <v>308</v>
      </c>
      <c r="E109" s="11"/>
      <c r="F109" s="11">
        <f t="shared" si="58"/>
        <v>2862966.6</v>
      </c>
      <c r="G109" s="11">
        <v>0</v>
      </c>
      <c r="H109" s="11">
        <v>0</v>
      </c>
      <c r="I109" s="11">
        <v>0</v>
      </c>
      <c r="J109" s="11">
        <v>2862966.6</v>
      </c>
      <c r="K109" s="11">
        <v>0</v>
      </c>
      <c r="L109" s="9"/>
      <c r="M109" s="9"/>
      <c r="N109" s="9"/>
      <c r="O109" s="9"/>
      <c r="P109" s="9"/>
      <c r="Q109" s="9"/>
    </row>
    <row r="110" spans="1:17" s="10" customFormat="1" outlineLevel="1" x14ac:dyDescent="0.3">
      <c r="A110" s="2" t="s">
        <v>248</v>
      </c>
      <c r="B110" s="3" t="s">
        <v>20</v>
      </c>
      <c r="C110" s="27">
        <f t="shared" ca="1" si="57"/>
        <v>110</v>
      </c>
      <c r="D110" s="11" t="s">
        <v>308</v>
      </c>
      <c r="E110" s="11"/>
      <c r="F110" s="11">
        <f t="shared" si="58"/>
        <v>11896.96</v>
      </c>
      <c r="G110" s="11">
        <v>0</v>
      </c>
      <c r="H110" s="11">
        <v>0</v>
      </c>
      <c r="I110" s="11">
        <v>0</v>
      </c>
      <c r="J110" s="11">
        <v>11896.96</v>
      </c>
      <c r="K110" s="11">
        <v>0</v>
      </c>
      <c r="L110" s="9"/>
      <c r="M110" s="9"/>
      <c r="N110" s="9"/>
      <c r="O110" s="9"/>
      <c r="P110" s="9"/>
      <c r="Q110" s="9"/>
    </row>
    <row r="111" spans="1:17" s="10" customFormat="1" outlineLevel="1" x14ac:dyDescent="0.3">
      <c r="A111" s="2" t="s">
        <v>250</v>
      </c>
      <c r="B111" s="3" t="s">
        <v>104</v>
      </c>
      <c r="C111" s="27">
        <f t="shared" ca="1" si="57"/>
        <v>115</v>
      </c>
      <c r="D111" s="11" t="s">
        <v>308</v>
      </c>
      <c r="E111" s="11"/>
      <c r="F111" s="11">
        <f t="shared" si="58"/>
        <v>3670470</v>
      </c>
      <c r="G111" s="11">
        <v>0</v>
      </c>
      <c r="H111" s="11">
        <v>0</v>
      </c>
      <c r="I111" s="11">
        <v>0</v>
      </c>
      <c r="J111" s="11">
        <v>3670470</v>
      </c>
      <c r="K111" s="11">
        <v>0</v>
      </c>
      <c r="L111" s="9"/>
      <c r="M111" s="9"/>
      <c r="N111" s="9"/>
      <c r="O111" s="9"/>
      <c r="P111" s="9"/>
      <c r="Q111" s="9"/>
    </row>
    <row r="112" spans="1:17" s="10" customFormat="1" outlineLevel="1" x14ac:dyDescent="0.3">
      <c r="A112" s="2" t="s">
        <v>255</v>
      </c>
      <c r="B112" s="3" t="s">
        <v>89</v>
      </c>
      <c r="C112" s="27">
        <f t="shared" ca="1" si="57"/>
        <v>51</v>
      </c>
      <c r="D112" s="11" t="s">
        <v>308</v>
      </c>
      <c r="E112" s="11"/>
      <c r="F112" s="11">
        <f t="shared" si="58"/>
        <v>12986.46</v>
      </c>
      <c r="G112" s="11">
        <v>0</v>
      </c>
      <c r="H112" s="11">
        <v>12986.46</v>
      </c>
      <c r="I112" s="11">
        <v>0</v>
      </c>
      <c r="J112" s="11">
        <v>0</v>
      </c>
      <c r="K112" s="11">
        <v>0</v>
      </c>
      <c r="L112" s="9"/>
      <c r="M112" s="9"/>
      <c r="N112" s="9"/>
      <c r="O112" s="9"/>
      <c r="P112" s="9"/>
      <c r="Q112" s="9"/>
    </row>
    <row r="113" spans="1:17" s="10" customFormat="1" outlineLevel="1" x14ac:dyDescent="0.3">
      <c r="A113" s="2" t="s">
        <v>259</v>
      </c>
      <c r="B113" s="3" t="s">
        <v>175</v>
      </c>
      <c r="C113" s="3"/>
      <c r="D113" s="11" t="s">
        <v>308</v>
      </c>
      <c r="E113" s="11"/>
      <c r="F113" s="11">
        <f t="shared" si="58"/>
        <v>5591520.5899999999</v>
      </c>
      <c r="G113" s="11">
        <v>5591520.5899999999</v>
      </c>
      <c r="H113" s="11">
        <v>0</v>
      </c>
      <c r="I113" s="11">
        <v>0</v>
      </c>
      <c r="J113" s="11">
        <v>0</v>
      </c>
      <c r="K113" s="11">
        <v>0</v>
      </c>
      <c r="L113" s="9"/>
      <c r="M113" s="9"/>
      <c r="N113" s="9"/>
      <c r="O113" s="9"/>
      <c r="P113" s="9"/>
      <c r="Q113" s="9"/>
    </row>
    <row r="114" spans="1:17" s="10" customFormat="1" outlineLevel="1" x14ac:dyDescent="0.3">
      <c r="A114" s="2" t="s">
        <v>263</v>
      </c>
      <c r="B114" s="3" t="s">
        <v>262</v>
      </c>
      <c r="C114" s="3"/>
      <c r="D114" s="11" t="s">
        <v>308</v>
      </c>
      <c r="E114" s="11"/>
      <c r="F114" s="11">
        <f t="shared" si="58"/>
        <v>3181343.17</v>
      </c>
      <c r="G114" s="11">
        <v>0</v>
      </c>
      <c r="H114" s="11">
        <v>0</v>
      </c>
      <c r="I114" s="11">
        <v>0</v>
      </c>
      <c r="J114" s="11">
        <v>0</v>
      </c>
      <c r="K114" s="11">
        <v>3181343.17</v>
      </c>
      <c r="L114" s="9"/>
      <c r="M114" s="9"/>
      <c r="N114" s="9"/>
      <c r="O114" s="9"/>
      <c r="P114" s="9"/>
      <c r="Q114" s="9"/>
    </row>
    <row r="115" spans="1:17" s="10" customFormat="1" outlineLevel="1" x14ac:dyDescent="0.3">
      <c r="A115" s="2" t="s">
        <v>268</v>
      </c>
      <c r="B115" s="3" t="s">
        <v>267</v>
      </c>
      <c r="C115" s="3"/>
      <c r="D115" s="11" t="s">
        <v>308</v>
      </c>
      <c r="E115" s="11"/>
      <c r="F115" s="11">
        <f t="shared" si="58"/>
        <v>7588730.5999999996</v>
      </c>
      <c r="G115" s="11">
        <v>0</v>
      </c>
      <c r="H115" s="11">
        <v>0</v>
      </c>
      <c r="I115" s="11">
        <v>0</v>
      </c>
      <c r="J115" s="11">
        <v>0</v>
      </c>
      <c r="K115" s="11">
        <v>7588730.5999999996</v>
      </c>
      <c r="L115" s="9"/>
      <c r="M115" s="9"/>
      <c r="N115" s="9"/>
      <c r="O115" s="9"/>
      <c r="P115" s="9"/>
      <c r="Q115" s="9"/>
    </row>
    <row r="116" spans="1:17" s="10" customFormat="1" x14ac:dyDescent="0.3">
      <c r="A116" s="7"/>
      <c r="B116" s="8"/>
      <c r="C116" s="8"/>
      <c r="D116" s="12" t="s">
        <v>323</v>
      </c>
      <c r="E116" s="33">
        <f>IF($F$195=0,0,F116/$F$195)</f>
        <v>5.1700646727249583E-2</v>
      </c>
      <c r="F116" s="13">
        <f>SUBTOTAL(9,F108:F115)</f>
        <v>25122196.380000003</v>
      </c>
      <c r="G116" s="13">
        <f t="shared" ref="G116:K116" si="59">SUBTOTAL(9,G108:G115)</f>
        <v>5591520.5899999999</v>
      </c>
      <c r="H116" s="13">
        <f t="shared" si="59"/>
        <v>12986.46</v>
      </c>
      <c r="I116" s="13">
        <f t="shared" si="59"/>
        <v>0</v>
      </c>
      <c r="J116" s="13">
        <f t="shared" si="59"/>
        <v>8747615.5599999987</v>
      </c>
      <c r="K116" s="13">
        <f t="shared" si="59"/>
        <v>10770073.77</v>
      </c>
      <c r="L116" s="9"/>
      <c r="M116" s="9"/>
      <c r="N116" s="9"/>
      <c r="O116" s="9"/>
      <c r="P116" s="9"/>
      <c r="Q116" s="9"/>
    </row>
    <row r="117" spans="1:17" s="10" customFormat="1" outlineLevel="1" x14ac:dyDescent="0.3">
      <c r="A117" s="2" t="s">
        <v>239</v>
      </c>
      <c r="B117" s="3" t="s">
        <v>240</v>
      </c>
      <c r="C117" s="27">
        <f t="shared" ref="C117:C119" ca="1" si="60">TODAY()-B117</f>
        <v>128</v>
      </c>
      <c r="D117" s="11" t="s">
        <v>309</v>
      </c>
      <c r="E117" s="11"/>
      <c r="F117" s="11">
        <f t="shared" ref="F117:F122" si="61">SUM(G117:K117)</f>
        <v>7924985.1900000004</v>
      </c>
      <c r="G117" s="11">
        <v>0</v>
      </c>
      <c r="H117" s="11">
        <v>0</v>
      </c>
      <c r="I117" s="11">
        <v>0</v>
      </c>
      <c r="J117" s="11">
        <v>7924985.1900000004</v>
      </c>
      <c r="K117" s="11">
        <v>0</v>
      </c>
      <c r="L117" s="9"/>
      <c r="M117" s="9"/>
      <c r="N117" s="9"/>
      <c r="O117" s="9"/>
      <c r="P117" s="9"/>
      <c r="Q117" s="9"/>
    </row>
    <row r="118" spans="1:17" s="10" customFormat="1" outlineLevel="1" x14ac:dyDescent="0.3">
      <c r="A118" s="2" t="s">
        <v>244</v>
      </c>
      <c r="B118" s="3" t="s">
        <v>245</v>
      </c>
      <c r="C118" s="27">
        <f t="shared" ca="1" si="60"/>
        <v>88</v>
      </c>
      <c r="D118" s="11" t="s">
        <v>309</v>
      </c>
      <c r="E118" s="11"/>
      <c r="F118" s="11">
        <f t="shared" si="61"/>
        <v>29810.39</v>
      </c>
      <c r="G118" s="11">
        <v>0</v>
      </c>
      <c r="H118" s="11">
        <v>0</v>
      </c>
      <c r="I118" s="11">
        <v>29810.39</v>
      </c>
      <c r="J118" s="11">
        <v>0</v>
      </c>
      <c r="K118" s="11">
        <v>0</v>
      </c>
      <c r="L118" s="9"/>
      <c r="M118" s="9"/>
      <c r="N118" s="9"/>
      <c r="O118" s="9"/>
      <c r="P118" s="9"/>
      <c r="Q118" s="9"/>
    </row>
    <row r="119" spans="1:17" s="10" customFormat="1" outlineLevel="1" x14ac:dyDescent="0.3">
      <c r="A119" s="2" t="s">
        <v>252</v>
      </c>
      <c r="B119" s="3" t="s">
        <v>253</v>
      </c>
      <c r="C119" s="27">
        <f t="shared" ca="1" si="60"/>
        <v>66</v>
      </c>
      <c r="D119" s="11" t="s">
        <v>309</v>
      </c>
      <c r="E119" s="11"/>
      <c r="F119" s="11">
        <f t="shared" si="61"/>
        <v>10255293.18</v>
      </c>
      <c r="G119" s="11">
        <v>0</v>
      </c>
      <c r="H119" s="11">
        <v>10255293.18</v>
      </c>
      <c r="I119" s="11">
        <v>0</v>
      </c>
      <c r="J119" s="11">
        <v>0</v>
      </c>
      <c r="K119" s="11">
        <v>0</v>
      </c>
      <c r="L119" s="9"/>
      <c r="M119" s="9"/>
      <c r="N119" s="9"/>
      <c r="O119" s="9"/>
      <c r="P119" s="9"/>
      <c r="Q119" s="9"/>
    </row>
    <row r="120" spans="1:17" s="10" customFormat="1" outlineLevel="1" x14ac:dyDescent="0.3">
      <c r="A120" s="2" t="s">
        <v>257</v>
      </c>
      <c r="B120" s="3" t="s">
        <v>19</v>
      </c>
      <c r="C120" s="3"/>
      <c r="D120" s="11" t="s">
        <v>309</v>
      </c>
      <c r="E120" s="11"/>
      <c r="F120" s="11">
        <f t="shared" si="61"/>
        <v>11349753.92</v>
      </c>
      <c r="G120" s="11">
        <v>11349753.92</v>
      </c>
      <c r="H120" s="11">
        <v>0</v>
      </c>
      <c r="I120" s="11">
        <v>0</v>
      </c>
      <c r="J120" s="11">
        <v>0</v>
      </c>
      <c r="K120" s="11">
        <v>0</v>
      </c>
      <c r="L120" s="9"/>
      <c r="M120" s="9"/>
      <c r="N120" s="9"/>
      <c r="O120" s="9"/>
      <c r="P120" s="9"/>
      <c r="Q120" s="9"/>
    </row>
    <row r="121" spans="1:17" s="10" customFormat="1" outlineLevel="1" x14ac:dyDescent="0.3">
      <c r="A121" s="2" t="s">
        <v>265</v>
      </c>
      <c r="B121" s="3" t="s">
        <v>172</v>
      </c>
      <c r="C121" s="3"/>
      <c r="D121" s="11" t="s">
        <v>309</v>
      </c>
      <c r="E121" s="11"/>
      <c r="F121" s="11">
        <f t="shared" si="61"/>
        <v>9956700.4499999993</v>
      </c>
      <c r="G121" s="11">
        <v>0</v>
      </c>
      <c r="H121" s="11">
        <v>0</v>
      </c>
      <c r="I121" s="11">
        <v>0</v>
      </c>
      <c r="J121" s="11">
        <v>0</v>
      </c>
      <c r="K121" s="11">
        <v>9956700.4499999993</v>
      </c>
      <c r="L121" s="9"/>
      <c r="M121" s="9"/>
      <c r="N121" s="9"/>
      <c r="O121" s="9"/>
      <c r="P121" s="9"/>
      <c r="Q121" s="9"/>
    </row>
    <row r="122" spans="1:17" s="10" customFormat="1" outlineLevel="1" x14ac:dyDescent="0.3">
      <c r="A122" s="2" t="s">
        <v>270</v>
      </c>
      <c r="B122" s="3" t="s">
        <v>267</v>
      </c>
      <c r="C122" s="3"/>
      <c r="D122" s="11" t="s">
        <v>309</v>
      </c>
      <c r="E122" s="11"/>
      <c r="F122" s="11">
        <f t="shared" si="61"/>
        <v>10013313.449999999</v>
      </c>
      <c r="G122" s="11">
        <v>0</v>
      </c>
      <c r="H122" s="11">
        <v>0</v>
      </c>
      <c r="I122" s="11">
        <v>0</v>
      </c>
      <c r="J122" s="11">
        <v>0</v>
      </c>
      <c r="K122" s="11">
        <v>10013313.449999999</v>
      </c>
      <c r="L122" s="9"/>
      <c r="M122" s="9"/>
      <c r="N122" s="9"/>
      <c r="O122" s="9"/>
      <c r="P122" s="9"/>
      <c r="Q122" s="9"/>
    </row>
    <row r="123" spans="1:17" s="10" customFormat="1" x14ac:dyDescent="0.3">
      <c r="A123" s="7"/>
      <c r="B123" s="8"/>
      <c r="C123" s="8"/>
      <c r="D123" s="12" t="s">
        <v>310</v>
      </c>
      <c r="E123" s="33">
        <f>IF($F$195=0,0,F123/$F$195)</f>
        <v>0.10193080170062414</v>
      </c>
      <c r="F123" s="13">
        <f>SUBTOTAL(9,F117:F122)</f>
        <v>49529856.579999998</v>
      </c>
      <c r="G123" s="13">
        <f t="shared" ref="G123:K123" si="62">SUBTOTAL(9,G117:G122)</f>
        <v>11349753.92</v>
      </c>
      <c r="H123" s="13">
        <f t="shared" si="62"/>
        <v>10255293.18</v>
      </c>
      <c r="I123" s="13">
        <f t="shared" si="62"/>
        <v>29810.39</v>
      </c>
      <c r="J123" s="13">
        <f t="shared" si="62"/>
        <v>7924985.1900000004</v>
      </c>
      <c r="K123" s="13">
        <f t="shared" si="62"/>
        <v>19970013.899999999</v>
      </c>
      <c r="L123" s="9"/>
      <c r="M123" s="9"/>
      <c r="N123" s="9"/>
      <c r="O123" s="9"/>
      <c r="P123" s="9"/>
      <c r="Q123" s="9"/>
    </row>
    <row r="124" spans="1:17" s="10" customFormat="1" outlineLevel="1" x14ac:dyDescent="0.3">
      <c r="A124" s="2" t="s">
        <v>238</v>
      </c>
      <c r="B124" s="3" t="s">
        <v>235</v>
      </c>
      <c r="C124" s="27">
        <f t="shared" ref="C124:C128" ca="1" si="63">TODAY()-B124</f>
        <v>151</v>
      </c>
      <c r="D124" s="11" t="s">
        <v>311</v>
      </c>
      <c r="E124" s="11"/>
      <c r="F124" s="11">
        <f t="shared" ref="F124:F131" si="64">SUM(G124:K124)</f>
        <v>12406188.6</v>
      </c>
      <c r="G124" s="11">
        <v>0</v>
      </c>
      <c r="H124" s="11">
        <v>0</v>
      </c>
      <c r="I124" s="11">
        <v>0</v>
      </c>
      <c r="J124" s="11">
        <v>12406188.6</v>
      </c>
      <c r="K124" s="11">
        <v>0</v>
      </c>
      <c r="L124" s="9"/>
      <c r="M124" s="9"/>
      <c r="N124" s="9"/>
      <c r="O124" s="9"/>
      <c r="P124" s="9"/>
      <c r="Q124" s="9"/>
    </row>
    <row r="125" spans="1:17" s="10" customFormat="1" outlineLevel="1" x14ac:dyDescent="0.3">
      <c r="A125" s="2" t="s">
        <v>241</v>
      </c>
      <c r="B125" s="3" t="s">
        <v>104</v>
      </c>
      <c r="C125" s="27">
        <f t="shared" ca="1" si="63"/>
        <v>115</v>
      </c>
      <c r="D125" s="11" t="s">
        <v>311</v>
      </c>
      <c r="E125" s="11"/>
      <c r="F125" s="11">
        <f t="shared" si="64"/>
        <v>2995103.52</v>
      </c>
      <c r="G125" s="11">
        <v>0</v>
      </c>
      <c r="H125" s="11">
        <v>0</v>
      </c>
      <c r="I125" s="11">
        <v>0</v>
      </c>
      <c r="J125" s="11">
        <v>2995103.52</v>
      </c>
      <c r="K125" s="11">
        <v>0</v>
      </c>
      <c r="L125" s="9"/>
      <c r="M125" s="9"/>
      <c r="N125" s="9"/>
      <c r="O125" s="9"/>
      <c r="P125" s="9"/>
      <c r="Q125" s="9"/>
    </row>
    <row r="126" spans="1:17" s="10" customFormat="1" outlineLevel="1" x14ac:dyDescent="0.3">
      <c r="A126" s="2" t="s">
        <v>247</v>
      </c>
      <c r="B126" s="3" t="s">
        <v>20</v>
      </c>
      <c r="C126" s="27">
        <f t="shared" ca="1" si="63"/>
        <v>110</v>
      </c>
      <c r="D126" s="11" t="s">
        <v>311</v>
      </c>
      <c r="E126" s="11"/>
      <c r="F126" s="11">
        <f t="shared" si="64"/>
        <v>20306.560000000001</v>
      </c>
      <c r="G126" s="11">
        <v>0</v>
      </c>
      <c r="H126" s="11">
        <v>0</v>
      </c>
      <c r="I126" s="11">
        <v>0</v>
      </c>
      <c r="J126" s="11">
        <v>20306.560000000001</v>
      </c>
      <c r="K126" s="11">
        <v>0</v>
      </c>
      <c r="L126" s="9"/>
      <c r="M126" s="9"/>
      <c r="N126" s="9"/>
      <c r="O126" s="9"/>
      <c r="P126" s="9"/>
      <c r="Q126" s="9"/>
    </row>
    <row r="127" spans="1:17" s="10" customFormat="1" outlineLevel="1" x14ac:dyDescent="0.3">
      <c r="A127" s="2" t="s">
        <v>249</v>
      </c>
      <c r="B127" s="3" t="s">
        <v>104</v>
      </c>
      <c r="C127" s="27">
        <f t="shared" ca="1" si="63"/>
        <v>115</v>
      </c>
      <c r="D127" s="11" t="s">
        <v>311</v>
      </c>
      <c r="E127" s="11"/>
      <c r="F127" s="11">
        <f t="shared" si="64"/>
        <v>3670470</v>
      </c>
      <c r="G127" s="11">
        <v>0</v>
      </c>
      <c r="H127" s="11">
        <v>0</v>
      </c>
      <c r="I127" s="11">
        <v>0</v>
      </c>
      <c r="J127" s="11">
        <v>3670470</v>
      </c>
      <c r="K127" s="11">
        <v>0</v>
      </c>
      <c r="L127" s="9"/>
      <c r="M127" s="9"/>
      <c r="N127" s="9"/>
      <c r="O127" s="9"/>
      <c r="P127" s="9"/>
      <c r="Q127" s="9"/>
    </row>
    <row r="128" spans="1:17" s="10" customFormat="1" outlineLevel="1" x14ac:dyDescent="0.3">
      <c r="A128" s="2" t="s">
        <v>254</v>
      </c>
      <c r="B128" s="3" t="s">
        <v>89</v>
      </c>
      <c r="C128" s="27">
        <f t="shared" ca="1" si="63"/>
        <v>51</v>
      </c>
      <c r="D128" s="11" t="s">
        <v>311</v>
      </c>
      <c r="E128" s="11"/>
      <c r="F128" s="11">
        <f t="shared" si="64"/>
        <v>37647.29</v>
      </c>
      <c r="G128" s="11">
        <v>0</v>
      </c>
      <c r="H128" s="11">
        <v>37647.29</v>
      </c>
      <c r="I128" s="11">
        <v>0</v>
      </c>
      <c r="J128" s="11">
        <v>0</v>
      </c>
      <c r="K128" s="11">
        <v>0</v>
      </c>
      <c r="L128" s="9"/>
      <c r="M128" s="9"/>
      <c r="N128" s="9"/>
      <c r="O128" s="9"/>
      <c r="P128" s="9"/>
      <c r="Q128" s="9"/>
    </row>
    <row r="129" spans="1:17" s="10" customFormat="1" outlineLevel="1" x14ac:dyDescent="0.3">
      <c r="A129" s="2" t="s">
        <v>258</v>
      </c>
      <c r="B129" s="3" t="s">
        <v>175</v>
      </c>
      <c r="C129" s="3"/>
      <c r="D129" s="11" t="s">
        <v>311</v>
      </c>
      <c r="E129" s="11"/>
      <c r="F129" s="11">
        <f t="shared" si="64"/>
        <v>7228807.1399999997</v>
      </c>
      <c r="G129" s="11">
        <v>7228807.1399999997</v>
      </c>
      <c r="H129" s="11">
        <v>0</v>
      </c>
      <c r="I129" s="11">
        <v>0</v>
      </c>
      <c r="J129" s="11">
        <v>0</v>
      </c>
      <c r="K129" s="11">
        <v>0</v>
      </c>
      <c r="L129" s="9"/>
      <c r="M129" s="9"/>
      <c r="N129" s="9"/>
      <c r="O129" s="9"/>
      <c r="P129" s="9"/>
      <c r="Q129" s="9"/>
    </row>
    <row r="130" spans="1:17" s="10" customFormat="1" outlineLevel="1" x14ac:dyDescent="0.3">
      <c r="A130" s="2" t="s">
        <v>261</v>
      </c>
      <c r="B130" s="3" t="s">
        <v>262</v>
      </c>
      <c r="C130" s="3"/>
      <c r="D130" s="11" t="s">
        <v>311</v>
      </c>
      <c r="E130" s="11"/>
      <c r="F130" s="11">
        <f t="shared" si="64"/>
        <v>7353493.0099999998</v>
      </c>
      <c r="G130" s="11">
        <v>0</v>
      </c>
      <c r="H130" s="11">
        <v>0</v>
      </c>
      <c r="I130" s="11">
        <v>0</v>
      </c>
      <c r="J130" s="11">
        <v>0</v>
      </c>
      <c r="K130" s="11">
        <v>7353493.0099999998</v>
      </c>
      <c r="L130" s="9"/>
      <c r="M130" s="9"/>
      <c r="N130" s="9"/>
      <c r="O130" s="9"/>
      <c r="P130" s="9"/>
      <c r="Q130" s="9"/>
    </row>
    <row r="131" spans="1:17" s="10" customFormat="1" outlineLevel="1" x14ac:dyDescent="0.3">
      <c r="A131" s="2" t="s">
        <v>266</v>
      </c>
      <c r="B131" s="3" t="s">
        <v>267</v>
      </c>
      <c r="C131" s="3"/>
      <c r="D131" s="11" t="s">
        <v>311</v>
      </c>
      <c r="E131" s="11"/>
      <c r="F131" s="11">
        <f t="shared" si="64"/>
        <v>7588804.4299999997</v>
      </c>
      <c r="G131" s="11">
        <v>0</v>
      </c>
      <c r="H131" s="11">
        <v>0</v>
      </c>
      <c r="I131" s="11">
        <v>0</v>
      </c>
      <c r="J131" s="11">
        <v>0</v>
      </c>
      <c r="K131" s="11">
        <v>7588804.4299999997</v>
      </c>
      <c r="L131" s="9"/>
      <c r="M131" s="9"/>
      <c r="N131" s="9"/>
      <c r="O131" s="9"/>
      <c r="P131" s="9"/>
      <c r="Q131" s="9"/>
    </row>
    <row r="132" spans="1:17" s="10" customFormat="1" x14ac:dyDescent="0.3">
      <c r="A132" s="7"/>
      <c r="B132" s="8"/>
      <c r="C132" s="8"/>
      <c r="D132" s="12" t="s">
        <v>312</v>
      </c>
      <c r="E132" s="33">
        <f>IF($F$195=0,0,F132/$F$195)</f>
        <v>8.4995718547164686E-2</v>
      </c>
      <c r="F132" s="13">
        <f>SUBTOTAL(9,F124:F131)</f>
        <v>41300820.549999997</v>
      </c>
      <c r="G132" s="13">
        <f t="shared" ref="G132:K132" si="65">SUBTOTAL(9,G124:G131)</f>
        <v>7228807.1399999997</v>
      </c>
      <c r="H132" s="13">
        <f t="shared" si="65"/>
        <v>37647.29</v>
      </c>
      <c r="I132" s="13">
        <f t="shared" si="65"/>
        <v>0</v>
      </c>
      <c r="J132" s="13">
        <f t="shared" si="65"/>
        <v>19092068.68</v>
      </c>
      <c r="K132" s="13">
        <f t="shared" si="65"/>
        <v>14942297.439999999</v>
      </c>
      <c r="L132" s="9"/>
      <c r="M132" s="9"/>
      <c r="N132" s="9"/>
      <c r="O132" s="9"/>
      <c r="P132" s="9"/>
      <c r="Q132" s="9"/>
    </row>
    <row r="133" spans="1:17" outlineLevel="1" x14ac:dyDescent="0.3">
      <c r="A133" s="2" t="s">
        <v>272</v>
      </c>
      <c r="B133" s="3" t="s">
        <v>63</v>
      </c>
      <c r="C133" s="3"/>
      <c r="D133" s="11" t="s">
        <v>271</v>
      </c>
      <c r="E133" s="11"/>
      <c r="F133" s="11">
        <f t="shared" ref="F133:F134" si="66">SUM(G133:K133)</f>
        <v>651869.68000000005</v>
      </c>
      <c r="G133" s="11">
        <v>651869.68000000005</v>
      </c>
      <c r="H133" s="11">
        <v>0</v>
      </c>
      <c r="I133" s="11">
        <v>0</v>
      </c>
      <c r="J133" s="11">
        <v>0</v>
      </c>
      <c r="K133" s="11">
        <v>0</v>
      </c>
    </row>
    <row r="134" spans="1:17" outlineLevel="1" x14ac:dyDescent="0.3">
      <c r="A134" s="2" t="s">
        <v>273</v>
      </c>
      <c r="B134" s="3" t="s">
        <v>27</v>
      </c>
      <c r="C134" s="3"/>
      <c r="D134" s="11" t="s">
        <v>271</v>
      </c>
      <c r="E134" s="11"/>
      <c r="F134" s="11">
        <f t="shared" si="66"/>
        <v>651869.68000000005</v>
      </c>
      <c r="G134" s="11">
        <v>0</v>
      </c>
      <c r="H134" s="11">
        <v>0</v>
      </c>
      <c r="I134" s="11">
        <v>0</v>
      </c>
      <c r="J134" s="11">
        <v>0</v>
      </c>
      <c r="K134" s="11">
        <v>651869.68000000005</v>
      </c>
    </row>
    <row r="135" spans="1:17" s="10" customFormat="1" x14ac:dyDescent="0.3">
      <c r="A135" s="7"/>
      <c r="B135" s="8"/>
      <c r="C135" s="8"/>
      <c r="D135" s="12" t="s">
        <v>313</v>
      </c>
      <c r="E135" s="33">
        <f>IF($F$195=0,0,F135/$F$195)</f>
        <v>2.6830523516419729E-3</v>
      </c>
      <c r="F135" s="13">
        <f>SUBTOTAL(9,F133:F134)</f>
        <v>1303739.3600000001</v>
      </c>
      <c r="G135" s="13">
        <f t="shared" ref="G135:K135" si="67">SUBTOTAL(9,G133:G134)</f>
        <v>651869.68000000005</v>
      </c>
      <c r="H135" s="13">
        <f t="shared" si="67"/>
        <v>0</v>
      </c>
      <c r="I135" s="13">
        <f t="shared" si="67"/>
        <v>0</v>
      </c>
      <c r="J135" s="13">
        <f t="shared" si="67"/>
        <v>0</v>
      </c>
      <c r="K135" s="13">
        <f t="shared" si="67"/>
        <v>651869.68000000005</v>
      </c>
      <c r="L135" s="9"/>
      <c r="M135" s="9"/>
      <c r="N135" s="9"/>
      <c r="O135" s="9"/>
      <c r="P135" s="9"/>
      <c r="Q135" s="9"/>
    </row>
    <row r="136" spans="1:17" outlineLevel="1" x14ac:dyDescent="0.3">
      <c r="A136" s="2" t="s">
        <v>275</v>
      </c>
      <c r="B136" s="3" t="s">
        <v>43</v>
      </c>
      <c r="C136" s="27">
        <f t="shared" ref="C136" ca="1" si="68">TODAY()-B136</f>
        <v>81</v>
      </c>
      <c r="D136" s="14" t="s">
        <v>274</v>
      </c>
      <c r="E136" s="11"/>
      <c r="F136" s="11">
        <f t="shared" ref="F136:F137" si="69">SUM(G136:K136)</f>
        <v>659409.77</v>
      </c>
      <c r="G136" s="11">
        <v>0</v>
      </c>
      <c r="H136" s="11">
        <v>0</v>
      </c>
      <c r="I136" s="11">
        <v>659409.77</v>
      </c>
      <c r="J136" s="11">
        <v>0</v>
      </c>
      <c r="K136" s="11">
        <v>0</v>
      </c>
    </row>
    <row r="137" spans="1:17" outlineLevel="1" x14ac:dyDescent="0.3">
      <c r="A137" s="2" t="s">
        <v>276</v>
      </c>
      <c r="B137" s="3" t="s">
        <v>45</v>
      </c>
      <c r="C137" s="3"/>
      <c r="D137" s="11" t="s">
        <v>274</v>
      </c>
      <c r="E137" s="11"/>
      <c r="F137" s="11">
        <f t="shared" si="69"/>
        <v>1013262.66</v>
      </c>
      <c r="G137" s="11">
        <v>0</v>
      </c>
      <c r="H137" s="11">
        <v>0</v>
      </c>
      <c r="I137" s="11">
        <v>0</v>
      </c>
      <c r="J137" s="11">
        <v>0</v>
      </c>
      <c r="K137" s="11">
        <v>1013262.66</v>
      </c>
    </row>
    <row r="138" spans="1:17" s="10" customFormat="1" x14ac:dyDescent="0.3">
      <c r="A138" s="7"/>
      <c r="B138" s="8"/>
      <c r="C138" s="8"/>
      <c r="D138" s="12" t="s">
        <v>314</v>
      </c>
      <c r="E138" s="33">
        <f>IF($F$195=0,0,F138/$F$195)</f>
        <v>3.4423043704365831E-3</v>
      </c>
      <c r="F138" s="13">
        <f>SUBTOTAL(9,F136:F137)</f>
        <v>1672672.4300000002</v>
      </c>
      <c r="G138" s="13">
        <f t="shared" ref="G138:K138" si="70">SUBTOTAL(9,G136:G137)</f>
        <v>0</v>
      </c>
      <c r="H138" s="13">
        <f t="shared" si="70"/>
        <v>0</v>
      </c>
      <c r="I138" s="13">
        <f t="shared" si="70"/>
        <v>659409.77</v>
      </c>
      <c r="J138" s="13">
        <f t="shared" si="70"/>
        <v>0</v>
      </c>
      <c r="K138" s="13">
        <f t="shared" si="70"/>
        <v>1013262.66</v>
      </c>
      <c r="L138" s="9"/>
      <c r="M138" s="9"/>
      <c r="N138" s="9"/>
      <c r="O138" s="9"/>
      <c r="P138" s="9"/>
      <c r="Q138" s="9"/>
    </row>
    <row r="139" spans="1:17" outlineLevel="1" x14ac:dyDescent="0.3">
      <c r="A139" s="2" t="s">
        <v>278</v>
      </c>
      <c r="B139" s="3" t="s">
        <v>279</v>
      </c>
      <c r="C139" s="27">
        <f t="shared" ref="C139:C141" ca="1" si="71">TODAY()-B139</f>
        <v>108</v>
      </c>
      <c r="D139" s="11" t="s">
        <v>277</v>
      </c>
      <c r="E139" s="11"/>
      <c r="F139" s="11">
        <f t="shared" ref="F139:F143" si="72">SUM(G139:K139)</f>
        <v>1761825.6</v>
      </c>
      <c r="G139" s="11">
        <v>0</v>
      </c>
      <c r="H139" s="11">
        <v>0</v>
      </c>
      <c r="I139" s="11">
        <v>0</v>
      </c>
      <c r="J139" s="11">
        <v>1761825.6</v>
      </c>
      <c r="K139" s="11">
        <v>0</v>
      </c>
    </row>
    <row r="140" spans="1:17" outlineLevel="1" x14ac:dyDescent="0.3">
      <c r="A140" s="2" t="s">
        <v>280</v>
      </c>
      <c r="B140" s="3" t="s">
        <v>43</v>
      </c>
      <c r="C140" s="27">
        <f t="shared" ca="1" si="71"/>
        <v>81</v>
      </c>
      <c r="D140" s="11" t="s">
        <v>277</v>
      </c>
      <c r="E140" s="11"/>
      <c r="F140" s="11">
        <f t="shared" si="72"/>
        <v>1761825.6</v>
      </c>
      <c r="G140" s="11">
        <v>0</v>
      </c>
      <c r="H140" s="11">
        <v>0</v>
      </c>
      <c r="I140" s="11">
        <v>1761825.6</v>
      </c>
      <c r="J140" s="11">
        <v>0</v>
      </c>
      <c r="K140" s="11">
        <v>0</v>
      </c>
    </row>
    <row r="141" spans="1:17" outlineLevel="1" x14ac:dyDescent="0.3">
      <c r="A141" s="2" t="s">
        <v>281</v>
      </c>
      <c r="B141" s="3" t="s">
        <v>167</v>
      </c>
      <c r="C141" s="27">
        <f t="shared" ca="1" si="71"/>
        <v>49</v>
      </c>
      <c r="D141" s="11" t="s">
        <v>277</v>
      </c>
      <c r="E141" s="11"/>
      <c r="F141" s="11">
        <f t="shared" si="72"/>
        <v>2055463.2</v>
      </c>
      <c r="G141" s="11">
        <v>0</v>
      </c>
      <c r="H141" s="11">
        <v>2055463.2</v>
      </c>
      <c r="I141" s="11">
        <v>0</v>
      </c>
      <c r="J141" s="11">
        <v>0</v>
      </c>
      <c r="K141" s="11">
        <v>0</v>
      </c>
    </row>
    <row r="142" spans="1:17" outlineLevel="1" x14ac:dyDescent="0.3">
      <c r="A142" s="2" t="s">
        <v>282</v>
      </c>
      <c r="B142" s="3" t="s">
        <v>10</v>
      </c>
      <c r="C142" s="3"/>
      <c r="D142" s="11" t="s">
        <v>277</v>
      </c>
      <c r="E142" s="11"/>
      <c r="F142" s="11">
        <f t="shared" si="72"/>
        <v>2055463.2</v>
      </c>
      <c r="G142" s="11">
        <v>2055463.2</v>
      </c>
      <c r="H142" s="11">
        <v>0</v>
      </c>
      <c r="I142" s="11">
        <v>0</v>
      </c>
      <c r="J142" s="11">
        <v>0</v>
      </c>
      <c r="K142" s="11">
        <v>0</v>
      </c>
    </row>
    <row r="143" spans="1:17" outlineLevel="1" x14ac:dyDescent="0.3">
      <c r="A143" s="2" t="s">
        <v>283</v>
      </c>
      <c r="B143" s="3" t="s">
        <v>121</v>
      </c>
      <c r="C143" s="3"/>
      <c r="D143" s="11" t="s">
        <v>277</v>
      </c>
      <c r="E143" s="11"/>
      <c r="F143" s="11">
        <f t="shared" si="72"/>
        <v>3476083.84</v>
      </c>
      <c r="G143" s="11">
        <v>0</v>
      </c>
      <c r="H143" s="11">
        <v>0</v>
      </c>
      <c r="I143" s="11">
        <v>0</v>
      </c>
      <c r="J143" s="11">
        <v>0</v>
      </c>
      <c r="K143" s="11">
        <v>3476083.84</v>
      </c>
    </row>
    <row r="144" spans="1:17" s="10" customFormat="1" x14ac:dyDescent="0.3">
      <c r="A144" s="7"/>
      <c r="B144" s="8"/>
      <c r="C144" s="8"/>
      <c r="D144" s="12" t="s">
        <v>315</v>
      </c>
      <c r="E144" s="33">
        <f>IF($F$195=0,0,F144/$F$195)</f>
        <v>2.286537265001326E-2</v>
      </c>
      <c r="F144" s="13">
        <f>SUBTOTAL(9,F139:F143)</f>
        <v>11110661.440000001</v>
      </c>
      <c r="G144" s="13">
        <f t="shared" ref="G144:K144" si="73">SUBTOTAL(9,G139:G143)</f>
        <v>2055463.2</v>
      </c>
      <c r="H144" s="13">
        <f t="shared" si="73"/>
        <v>2055463.2</v>
      </c>
      <c r="I144" s="13">
        <f t="shared" si="73"/>
        <v>1761825.6</v>
      </c>
      <c r="J144" s="13">
        <f t="shared" si="73"/>
        <v>1761825.6</v>
      </c>
      <c r="K144" s="13">
        <f t="shared" si="73"/>
        <v>3476083.84</v>
      </c>
      <c r="L144" s="9"/>
      <c r="M144" s="9"/>
      <c r="N144" s="9"/>
      <c r="O144" s="9"/>
      <c r="P144" s="9"/>
      <c r="Q144" s="9"/>
    </row>
    <row r="145" spans="1:17" outlineLevel="1" x14ac:dyDescent="0.3">
      <c r="A145" s="2" t="s">
        <v>29</v>
      </c>
      <c r="B145" s="3" t="s">
        <v>30</v>
      </c>
      <c r="C145" s="3"/>
      <c r="D145" s="11" t="s">
        <v>28</v>
      </c>
      <c r="E145" s="11"/>
      <c r="F145" s="11">
        <f t="shared" ref="F145:F185" si="74">SUM(G145:K145)</f>
        <v>985279.26</v>
      </c>
      <c r="G145" s="11">
        <v>0</v>
      </c>
      <c r="H145" s="11">
        <v>0</v>
      </c>
      <c r="I145" s="11">
        <v>0</v>
      </c>
      <c r="J145" s="11">
        <v>0</v>
      </c>
      <c r="K145" s="11">
        <v>985279.26</v>
      </c>
    </row>
    <row r="146" spans="1:17" s="10" customFormat="1" x14ac:dyDescent="0.3">
      <c r="A146" s="7"/>
      <c r="B146" s="8"/>
      <c r="C146" s="8"/>
      <c r="D146" s="12" t="s">
        <v>316</v>
      </c>
      <c r="E146" s="33">
        <f>IF($F$195=0,0,F146/$F$195)</f>
        <v>2.0276720306787875E-3</v>
      </c>
      <c r="F146" s="13">
        <f>SUBTOTAL(9,F145)</f>
        <v>985279.26</v>
      </c>
      <c r="G146" s="13">
        <f t="shared" ref="G146:K146" si="75">SUBTOTAL(9,G145)</f>
        <v>0</v>
      </c>
      <c r="H146" s="13">
        <f t="shared" si="75"/>
        <v>0</v>
      </c>
      <c r="I146" s="13">
        <f t="shared" si="75"/>
        <v>0</v>
      </c>
      <c r="J146" s="13">
        <f t="shared" si="75"/>
        <v>0</v>
      </c>
      <c r="K146" s="13">
        <f t="shared" si="75"/>
        <v>985279.26</v>
      </c>
      <c r="L146" s="9"/>
      <c r="M146" s="9"/>
      <c r="N146" s="9"/>
      <c r="O146" s="9"/>
      <c r="P146" s="9"/>
      <c r="Q146" s="9"/>
    </row>
    <row r="147" spans="1:17" outlineLevel="1" x14ac:dyDescent="0.3">
      <c r="A147" s="2" t="s">
        <v>33</v>
      </c>
      <c r="B147" s="3" t="s">
        <v>34</v>
      </c>
      <c r="C147" s="3"/>
      <c r="D147" s="11" t="s">
        <v>32</v>
      </c>
      <c r="E147" s="11"/>
      <c r="F147" s="11">
        <f t="shared" si="74"/>
        <v>349782.87</v>
      </c>
      <c r="G147" s="11">
        <v>349782.87</v>
      </c>
      <c r="H147" s="11">
        <v>0</v>
      </c>
      <c r="I147" s="11">
        <v>0</v>
      </c>
      <c r="J147" s="11">
        <v>0</v>
      </c>
      <c r="K147" s="11">
        <v>0</v>
      </c>
    </row>
    <row r="148" spans="1:17" outlineLevel="1" x14ac:dyDescent="0.3">
      <c r="A148" s="2" t="s">
        <v>35</v>
      </c>
      <c r="B148" s="3" t="s">
        <v>34</v>
      </c>
      <c r="C148" s="3"/>
      <c r="D148" s="11" t="s">
        <v>32</v>
      </c>
      <c r="E148" s="11"/>
      <c r="F148" s="11">
        <f t="shared" si="74"/>
        <v>2153307.69</v>
      </c>
      <c r="G148" s="11">
        <v>2153307.69</v>
      </c>
      <c r="H148" s="11">
        <v>0</v>
      </c>
      <c r="I148" s="11">
        <v>0</v>
      </c>
      <c r="J148" s="11">
        <v>0</v>
      </c>
      <c r="K148" s="11">
        <v>0</v>
      </c>
    </row>
    <row r="149" spans="1:17" s="10" customFormat="1" x14ac:dyDescent="0.3">
      <c r="A149" s="7"/>
      <c r="B149" s="8"/>
      <c r="C149" s="8"/>
      <c r="D149" s="12" t="s">
        <v>317</v>
      </c>
      <c r="E149" s="33">
        <f>IF($F$195=0,0,F149/$F$195)</f>
        <v>5.1512773330559128E-3</v>
      </c>
      <c r="F149" s="13">
        <f>SUBTOTAL(9,F147:F148)</f>
        <v>2503090.56</v>
      </c>
      <c r="G149" s="13">
        <f t="shared" ref="G149:K149" si="76">SUBTOTAL(9,G147:G148)</f>
        <v>2503090.56</v>
      </c>
      <c r="H149" s="13">
        <f t="shared" si="76"/>
        <v>0</v>
      </c>
      <c r="I149" s="13">
        <f t="shared" si="76"/>
        <v>0</v>
      </c>
      <c r="J149" s="13">
        <f t="shared" si="76"/>
        <v>0</v>
      </c>
      <c r="K149" s="13">
        <f t="shared" si="76"/>
        <v>0</v>
      </c>
      <c r="L149" s="9"/>
      <c r="M149" s="9"/>
      <c r="N149" s="9"/>
      <c r="O149" s="9"/>
      <c r="P149" s="9"/>
      <c r="Q149" s="9"/>
    </row>
    <row r="150" spans="1:17" outlineLevel="1" x14ac:dyDescent="0.3">
      <c r="A150" s="2" t="s">
        <v>37</v>
      </c>
      <c r="B150" s="3" t="s">
        <v>26</v>
      </c>
      <c r="C150" s="3"/>
      <c r="D150" s="11" t="s">
        <v>36</v>
      </c>
      <c r="E150" s="11"/>
      <c r="F150" s="11">
        <f t="shared" si="74"/>
        <v>252331.2</v>
      </c>
      <c r="G150" s="11">
        <v>252331.2</v>
      </c>
      <c r="H150" s="11">
        <v>0</v>
      </c>
      <c r="I150" s="11">
        <v>0</v>
      </c>
      <c r="J150" s="11">
        <v>0</v>
      </c>
      <c r="K150" s="11">
        <v>0</v>
      </c>
    </row>
    <row r="151" spans="1:17" outlineLevel="1" x14ac:dyDescent="0.3">
      <c r="A151" s="2" t="s">
        <v>38</v>
      </c>
      <c r="B151" s="3" t="s">
        <v>39</v>
      </c>
      <c r="C151" s="3"/>
      <c r="D151" s="11" t="s">
        <v>36</v>
      </c>
      <c r="E151" s="11"/>
      <c r="F151" s="11">
        <f t="shared" si="74"/>
        <v>252331.2</v>
      </c>
      <c r="G151" s="11">
        <v>252331.2</v>
      </c>
      <c r="H151" s="11">
        <v>0</v>
      </c>
      <c r="I151" s="11">
        <v>0</v>
      </c>
      <c r="J151" s="11">
        <v>0</v>
      </c>
      <c r="K151" s="11">
        <v>0</v>
      </c>
    </row>
    <row r="152" spans="1:17" outlineLevel="1" x14ac:dyDescent="0.3">
      <c r="A152" s="2" t="s">
        <v>40</v>
      </c>
      <c r="B152" s="3" t="s">
        <v>41</v>
      </c>
      <c r="C152" s="3"/>
      <c r="D152" s="11" t="s">
        <v>36</v>
      </c>
      <c r="E152" s="11"/>
      <c r="F152" s="11">
        <f t="shared" si="74"/>
        <v>252331.2</v>
      </c>
      <c r="G152" s="11">
        <v>0</v>
      </c>
      <c r="H152" s="11">
        <v>0</v>
      </c>
      <c r="I152" s="11">
        <v>0</v>
      </c>
      <c r="J152" s="11">
        <v>0</v>
      </c>
      <c r="K152" s="11">
        <v>252331.2</v>
      </c>
    </row>
    <row r="153" spans="1:17" s="10" customFormat="1" x14ac:dyDescent="0.3">
      <c r="A153" s="7"/>
      <c r="B153" s="8"/>
      <c r="C153" s="8"/>
      <c r="D153" s="12" t="s">
        <v>318</v>
      </c>
      <c r="E153" s="33">
        <f>IF($F$195=0,0,F153/$F$195)</f>
        <v>1.5578677157203594E-3</v>
      </c>
      <c r="F153" s="13">
        <f>SUBTOTAL(9,F150:F152)</f>
        <v>756993.60000000009</v>
      </c>
      <c r="G153" s="13">
        <f t="shared" ref="G153:K153" si="77">SUBTOTAL(9,G150:G152)</f>
        <v>504662.4</v>
      </c>
      <c r="H153" s="13">
        <f t="shared" si="77"/>
        <v>0</v>
      </c>
      <c r="I153" s="13">
        <f t="shared" si="77"/>
        <v>0</v>
      </c>
      <c r="J153" s="13">
        <f t="shared" si="77"/>
        <v>0</v>
      </c>
      <c r="K153" s="13">
        <f t="shared" si="77"/>
        <v>252331.2</v>
      </c>
      <c r="L153" s="9"/>
      <c r="M153" s="9"/>
      <c r="N153" s="9"/>
      <c r="O153" s="9"/>
      <c r="P153" s="9"/>
      <c r="Q153" s="9"/>
    </row>
    <row r="154" spans="1:17" outlineLevel="1" x14ac:dyDescent="0.3">
      <c r="A154" s="2" t="s">
        <v>75</v>
      </c>
      <c r="B154" s="3" t="s">
        <v>76</v>
      </c>
      <c r="C154" s="27">
        <f t="shared" ref="C154:C159" ca="1" si="78">TODAY()-B154</f>
        <v>84</v>
      </c>
      <c r="D154" s="11" t="s">
        <v>74</v>
      </c>
      <c r="E154" s="11"/>
      <c r="F154" s="11">
        <f t="shared" si="74"/>
        <v>1942541.9</v>
      </c>
      <c r="G154" s="11">
        <v>0</v>
      </c>
      <c r="H154" s="11">
        <v>0</v>
      </c>
      <c r="I154" s="11">
        <v>1942541.9</v>
      </c>
      <c r="J154" s="11">
        <v>0</v>
      </c>
      <c r="K154" s="11">
        <v>0</v>
      </c>
    </row>
    <row r="155" spans="1:17" outlineLevel="1" x14ac:dyDescent="0.3">
      <c r="A155" s="2" t="s">
        <v>77</v>
      </c>
      <c r="B155" s="3" t="s">
        <v>76</v>
      </c>
      <c r="C155" s="27">
        <f t="shared" ca="1" si="78"/>
        <v>84</v>
      </c>
      <c r="D155" s="11" t="s">
        <v>74</v>
      </c>
      <c r="E155" s="11"/>
      <c r="F155" s="11">
        <f t="shared" si="74"/>
        <v>265129.87</v>
      </c>
      <c r="G155" s="11">
        <v>0</v>
      </c>
      <c r="H155" s="11">
        <v>0</v>
      </c>
      <c r="I155" s="11">
        <v>265129.87</v>
      </c>
      <c r="J155" s="11">
        <v>0</v>
      </c>
      <c r="K155" s="11">
        <v>0</v>
      </c>
    </row>
    <row r="156" spans="1:17" outlineLevel="1" x14ac:dyDescent="0.3">
      <c r="A156" s="2" t="s">
        <v>78</v>
      </c>
      <c r="B156" s="3" t="s">
        <v>76</v>
      </c>
      <c r="C156" s="27">
        <f t="shared" ca="1" si="78"/>
        <v>84</v>
      </c>
      <c r="D156" s="11" t="s">
        <v>74</v>
      </c>
      <c r="E156" s="11"/>
      <c r="F156" s="11">
        <f t="shared" si="74"/>
        <v>31798.44</v>
      </c>
      <c r="G156" s="11">
        <v>0</v>
      </c>
      <c r="H156" s="11">
        <v>0</v>
      </c>
      <c r="I156" s="11">
        <v>31798.44</v>
      </c>
      <c r="J156" s="11">
        <v>0</v>
      </c>
      <c r="K156" s="11">
        <v>0</v>
      </c>
    </row>
    <row r="157" spans="1:17" outlineLevel="1" x14ac:dyDescent="0.3">
      <c r="A157" s="2" t="s">
        <v>79</v>
      </c>
      <c r="B157" s="3" t="s">
        <v>80</v>
      </c>
      <c r="C157" s="27">
        <f t="shared" ca="1" si="78"/>
        <v>76</v>
      </c>
      <c r="D157" s="11" t="s">
        <v>74</v>
      </c>
      <c r="E157" s="11"/>
      <c r="F157" s="11">
        <f t="shared" si="74"/>
        <v>32211.98</v>
      </c>
      <c r="G157" s="11">
        <v>0</v>
      </c>
      <c r="H157" s="11">
        <v>0</v>
      </c>
      <c r="I157" s="11">
        <v>32211.98</v>
      </c>
      <c r="J157" s="11">
        <v>0</v>
      </c>
      <c r="K157" s="11">
        <v>0</v>
      </c>
    </row>
    <row r="158" spans="1:17" outlineLevel="1" x14ac:dyDescent="0.3">
      <c r="A158" s="2" t="s">
        <v>81</v>
      </c>
      <c r="B158" s="3" t="s">
        <v>80</v>
      </c>
      <c r="C158" s="27">
        <f t="shared" ca="1" si="78"/>
        <v>76</v>
      </c>
      <c r="D158" s="11" t="s">
        <v>74</v>
      </c>
      <c r="E158" s="11"/>
      <c r="F158" s="11">
        <f t="shared" si="74"/>
        <v>193271.88</v>
      </c>
      <c r="G158" s="11">
        <v>0</v>
      </c>
      <c r="H158" s="11">
        <v>0</v>
      </c>
      <c r="I158" s="11">
        <v>193271.88</v>
      </c>
      <c r="J158" s="11">
        <v>0</v>
      </c>
      <c r="K158" s="11">
        <v>0</v>
      </c>
    </row>
    <row r="159" spans="1:17" outlineLevel="1" x14ac:dyDescent="0.3">
      <c r="A159" s="2" t="s">
        <v>82</v>
      </c>
      <c r="B159" s="3" t="s">
        <v>80</v>
      </c>
      <c r="C159" s="27">
        <f t="shared" ca="1" si="78"/>
        <v>76</v>
      </c>
      <c r="D159" s="11" t="s">
        <v>74</v>
      </c>
      <c r="E159" s="11"/>
      <c r="F159" s="11">
        <f t="shared" si="74"/>
        <v>847426.73</v>
      </c>
      <c r="G159" s="11">
        <v>0</v>
      </c>
      <c r="H159" s="11">
        <v>0</v>
      </c>
      <c r="I159" s="11">
        <v>847426.73</v>
      </c>
      <c r="J159" s="11">
        <v>0</v>
      </c>
      <c r="K159" s="11">
        <v>0</v>
      </c>
    </row>
    <row r="160" spans="1:17" outlineLevel="1" x14ac:dyDescent="0.3">
      <c r="A160" s="2" t="s">
        <v>83</v>
      </c>
      <c r="B160" s="3" t="s">
        <v>10</v>
      </c>
      <c r="C160" s="3"/>
      <c r="D160" s="11" t="s">
        <v>74</v>
      </c>
      <c r="E160" s="11"/>
      <c r="F160" s="11">
        <f t="shared" si="74"/>
        <v>33645.43</v>
      </c>
      <c r="G160" s="11">
        <v>33645.43</v>
      </c>
      <c r="H160" s="11">
        <v>0</v>
      </c>
      <c r="I160" s="11">
        <v>0</v>
      </c>
      <c r="J160" s="11">
        <v>0</v>
      </c>
      <c r="K160" s="11">
        <v>0</v>
      </c>
    </row>
    <row r="161" spans="1:17" outlineLevel="1" x14ac:dyDescent="0.3">
      <c r="A161" s="2" t="s">
        <v>84</v>
      </c>
      <c r="B161" s="3" t="s">
        <v>10</v>
      </c>
      <c r="C161" s="3"/>
      <c r="D161" s="11" t="s">
        <v>74</v>
      </c>
      <c r="E161" s="11"/>
      <c r="F161" s="11">
        <f t="shared" si="74"/>
        <v>214099.8</v>
      </c>
      <c r="G161" s="11">
        <v>214099.8</v>
      </c>
      <c r="H161" s="11">
        <v>0</v>
      </c>
      <c r="I161" s="11">
        <v>0</v>
      </c>
      <c r="J161" s="11">
        <v>0</v>
      </c>
      <c r="K161" s="11">
        <v>0</v>
      </c>
    </row>
    <row r="162" spans="1:17" outlineLevel="1" x14ac:dyDescent="0.3">
      <c r="A162" s="2" t="s">
        <v>85</v>
      </c>
      <c r="B162" s="3" t="s">
        <v>10</v>
      </c>
      <c r="C162" s="3"/>
      <c r="D162" s="11" t="s">
        <v>74</v>
      </c>
      <c r="E162" s="11"/>
      <c r="F162" s="11">
        <f t="shared" si="74"/>
        <v>1508157.46</v>
      </c>
      <c r="G162" s="11">
        <v>1508157.46</v>
      </c>
      <c r="H162" s="11">
        <v>0</v>
      </c>
      <c r="I162" s="11">
        <v>0</v>
      </c>
      <c r="J162" s="11">
        <v>0</v>
      </c>
      <c r="K162" s="11">
        <v>0</v>
      </c>
    </row>
    <row r="163" spans="1:17" outlineLevel="1" x14ac:dyDescent="0.3">
      <c r="A163" s="2" t="s">
        <v>86</v>
      </c>
      <c r="B163" s="3" t="s">
        <v>87</v>
      </c>
      <c r="C163" s="3"/>
      <c r="D163" s="11" t="s">
        <v>74</v>
      </c>
      <c r="E163" s="11"/>
      <c r="F163" s="11">
        <f t="shared" si="74"/>
        <v>31798.44</v>
      </c>
      <c r="G163" s="11">
        <v>0</v>
      </c>
      <c r="H163" s="11">
        <v>0</v>
      </c>
      <c r="I163" s="11">
        <v>0</v>
      </c>
      <c r="J163" s="11">
        <v>0</v>
      </c>
      <c r="K163" s="11">
        <v>31798.44</v>
      </c>
    </row>
    <row r="164" spans="1:17" outlineLevel="1" x14ac:dyDescent="0.3">
      <c r="A164" s="2" t="s">
        <v>88</v>
      </c>
      <c r="B164" s="3" t="s">
        <v>87</v>
      </c>
      <c r="C164" s="3"/>
      <c r="D164" s="11" t="s">
        <v>74</v>
      </c>
      <c r="E164" s="11"/>
      <c r="F164" s="11">
        <f t="shared" si="74"/>
        <v>329155.28999999998</v>
      </c>
      <c r="G164" s="11">
        <v>0</v>
      </c>
      <c r="H164" s="11">
        <v>0</v>
      </c>
      <c r="I164" s="11">
        <v>0</v>
      </c>
      <c r="J164" s="11">
        <v>0</v>
      </c>
      <c r="K164" s="11">
        <v>329155.28999999998</v>
      </c>
    </row>
    <row r="165" spans="1:17" s="10" customFormat="1" x14ac:dyDescent="0.3">
      <c r="A165" s="7"/>
      <c r="B165" s="8"/>
      <c r="C165" s="8"/>
      <c r="D165" s="12" t="s">
        <v>319</v>
      </c>
      <c r="E165" s="33">
        <f>IF($F$195=0,0,F165/$F$195)</f>
        <v>1.1173190085128003E-2</v>
      </c>
      <c r="F165" s="13">
        <f t="shared" ref="F165:K165" si="79">SUBTOTAL(9,F154:F164)</f>
        <v>5429237.2200000007</v>
      </c>
      <c r="G165" s="13">
        <f t="shared" si="79"/>
        <v>1755902.69</v>
      </c>
      <c r="H165" s="13">
        <f t="shared" si="79"/>
        <v>0</v>
      </c>
      <c r="I165" s="13">
        <f t="shared" si="79"/>
        <v>3312380.8</v>
      </c>
      <c r="J165" s="13">
        <f t="shared" si="79"/>
        <v>0</v>
      </c>
      <c r="K165" s="13">
        <f t="shared" si="79"/>
        <v>360953.73</v>
      </c>
      <c r="L165" s="9"/>
      <c r="M165" s="9"/>
      <c r="N165" s="9"/>
      <c r="O165" s="9"/>
      <c r="P165" s="9"/>
      <c r="Q165" s="9"/>
    </row>
    <row r="166" spans="1:17" outlineLevel="1" x14ac:dyDescent="0.3">
      <c r="A166" s="2" t="s">
        <v>129</v>
      </c>
      <c r="B166" s="3" t="s">
        <v>76</v>
      </c>
      <c r="C166" s="27">
        <f t="shared" ref="C166:C179" ca="1" si="80">TODAY()-B166</f>
        <v>84</v>
      </c>
      <c r="D166" s="11" t="s">
        <v>128</v>
      </c>
      <c r="E166" s="11"/>
      <c r="F166" s="11">
        <f t="shared" si="74"/>
        <v>555729.77</v>
      </c>
      <c r="G166" s="11">
        <v>0</v>
      </c>
      <c r="H166" s="11">
        <v>0</v>
      </c>
      <c r="I166" s="11">
        <v>555729.77</v>
      </c>
      <c r="J166" s="11">
        <v>0</v>
      </c>
      <c r="K166" s="11">
        <v>0</v>
      </c>
    </row>
    <row r="167" spans="1:17" outlineLevel="1" x14ac:dyDescent="0.3">
      <c r="A167" s="2" t="s">
        <v>130</v>
      </c>
      <c r="B167" s="3" t="s">
        <v>76</v>
      </c>
      <c r="C167" s="27">
        <f t="shared" ca="1" si="80"/>
        <v>84</v>
      </c>
      <c r="D167" s="11" t="s">
        <v>128</v>
      </c>
      <c r="E167" s="11"/>
      <c r="F167" s="11">
        <f t="shared" si="74"/>
        <v>1717115.9</v>
      </c>
      <c r="G167" s="11">
        <v>0</v>
      </c>
      <c r="H167" s="11">
        <v>0</v>
      </c>
      <c r="I167" s="11">
        <v>1717115.9</v>
      </c>
      <c r="J167" s="11">
        <v>0</v>
      </c>
      <c r="K167" s="11">
        <v>0</v>
      </c>
    </row>
    <row r="168" spans="1:17" outlineLevel="1" x14ac:dyDescent="0.3">
      <c r="A168" s="2" t="s">
        <v>131</v>
      </c>
      <c r="B168" s="3" t="s">
        <v>76</v>
      </c>
      <c r="C168" s="27">
        <f t="shared" ca="1" si="80"/>
        <v>84</v>
      </c>
      <c r="D168" s="11" t="s">
        <v>128</v>
      </c>
      <c r="E168" s="11"/>
      <c r="F168" s="11">
        <f t="shared" si="74"/>
        <v>6519966.3300000001</v>
      </c>
      <c r="G168" s="11">
        <v>0</v>
      </c>
      <c r="H168" s="11">
        <v>0</v>
      </c>
      <c r="I168" s="11">
        <v>6519966.3300000001</v>
      </c>
      <c r="J168" s="11">
        <v>0</v>
      </c>
      <c r="K168" s="11">
        <v>0</v>
      </c>
    </row>
    <row r="169" spans="1:17" outlineLevel="1" x14ac:dyDescent="0.3">
      <c r="A169" s="2" t="s">
        <v>132</v>
      </c>
      <c r="B169" s="3" t="s">
        <v>76</v>
      </c>
      <c r="C169" s="27">
        <f t="shared" ca="1" si="80"/>
        <v>84</v>
      </c>
      <c r="D169" s="11" t="s">
        <v>128</v>
      </c>
      <c r="E169" s="11"/>
      <c r="F169" s="11">
        <f t="shared" si="74"/>
        <v>667767.29</v>
      </c>
      <c r="G169" s="11">
        <v>0</v>
      </c>
      <c r="H169" s="11">
        <v>0</v>
      </c>
      <c r="I169" s="11">
        <v>667767.29</v>
      </c>
      <c r="J169" s="11">
        <v>0</v>
      </c>
      <c r="K169" s="11">
        <v>0</v>
      </c>
    </row>
    <row r="170" spans="1:17" outlineLevel="1" x14ac:dyDescent="0.3">
      <c r="A170" s="2" t="s">
        <v>133</v>
      </c>
      <c r="B170" s="3" t="s">
        <v>76</v>
      </c>
      <c r="C170" s="27">
        <f t="shared" ca="1" si="80"/>
        <v>84</v>
      </c>
      <c r="D170" s="11" t="s">
        <v>128</v>
      </c>
      <c r="E170" s="11"/>
      <c r="F170" s="11">
        <f t="shared" si="74"/>
        <v>3656820.89</v>
      </c>
      <c r="G170" s="11">
        <v>0</v>
      </c>
      <c r="H170" s="11">
        <v>0</v>
      </c>
      <c r="I170" s="11">
        <v>3656820.89</v>
      </c>
      <c r="J170" s="11">
        <v>0</v>
      </c>
      <c r="K170" s="11">
        <v>0</v>
      </c>
    </row>
    <row r="171" spans="1:17" outlineLevel="1" x14ac:dyDescent="0.3">
      <c r="A171" s="2" t="s">
        <v>134</v>
      </c>
      <c r="B171" s="3" t="s">
        <v>135</v>
      </c>
      <c r="C171" s="27">
        <f t="shared" ca="1" si="80"/>
        <v>82</v>
      </c>
      <c r="D171" s="11" t="s">
        <v>128</v>
      </c>
      <c r="E171" s="11"/>
      <c r="F171" s="11">
        <f t="shared" si="74"/>
        <v>15067289.33</v>
      </c>
      <c r="G171" s="11">
        <v>0</v>
      </c>
      <c r="H171" s="11">
        <v>0</v>
      </c>
      <c r="I171" s="11">
        <v>15067289.33</v>
      </c>
      <c r="J171" s="11">
        <v>0</v>
      </c>
      <c r="K171" s="11">
        <v>0</v>
      </c>
    </row>
    <row r="172" spans="1:17" outlineLevel="1" x14ac:dyDescent="0.3">
      <c r="A172" s="2" t="s">
        <v>136</v>
      </c>
      <c r="B172" s="3" t="s">
        <v>43</v>
      </c>
      <c r="C172" s="27">
        <f t="shared" ca="1" si="80"/>
        <v>81</v>
      </c>
      <c r="D172" s="11" t="s">
        <v>128</v>
      </c>
      <c r="E172" s="11"/>
      <c r="F172" s="11">
        <f t="shared" si="74"/>
        <v>806397.62</v>
      </c>
      <c r="G172" s="11">
        <v>0</v>
      </c>
      <c r="H172" s="11">
        <v>0</v>
      </c>
      <c r="I172" s="11">
        <v>806397.62</v>
      </c>
      <c r="J172" s="11">
        <v>0</v>
      </c>
      <c r="K172" s="11">
        <v>0</v>
      </c>
    </row>
    <row r="173" spans="1:17" outlineLevel="1" x14ac:dyDescent="0.3">
      <c r="A173" s="2" t="s">
        <v>137</v>
      </c>
      <c r="B173" s="3" t="s">
        <v>80</v>
      </c>
      <c r="C173" s="27">
        <f t="shared" ca="1" si="80"/>
        <v>76</v>
      </c>
      <c r="D173" s="11" t="s">
        <v>128</v>
      </c>
      <c r="E173" s="11"/>
      <c r="F173" s="11">
        <f t="shared" si="74"/>
        <v>3672165.69</v>
      </c>
      <c r="G173" s="11">
        <v>0</v>
      </c>
      <c r="H173" s="11">
        <v>0</v>
      </c>
      <c r="I173" s="11">
        <v>3672165.69</v>
      </c>
      <c r="J173" s="11">
        <v>0</v>
      </c>
      <c r="K173" s="11">
        <v>0</v>
      </c>
    </row>
    <row r="174" spans="1:17" outlineLevel="1" x14ac:dyDescent="0.3">
      <c r="A174" s="2" t="s">
        <v>138</v>
      </c>
      <c r="B174" s="3" t="s">
        <v>80</v>
      </c>
      <c r="C174" s="27">
        <f t="shared" ca="1" si="80"/>
        <v>76</v>
      </c>
      <c r="D174" s="11" t="s">
        <v>128</v>
      </c>
      <c r="E174" s="11"/>
      <c r="F174" s="11">
        <f t="shared" si="74"/>
        <v>515391.68</v>
      </c>
      <c r="G174" s="11">
        <v>0</v>
      </c>
      <c r="H174" s="11">
        <v>0</v>
      </c>
      <c r="I174" s="11">
        <v>515391.68</v>
      </c>
      <c r="J174" s="11">
        <v>0</v>
      </c>
      <c r="K174" s="11">
        <v>0</v>
      </c>
    </row>
    <row r="175" spans="1:17" outlineLevel="1" x14ac:dyDescent="0.3">
      <c r="A175" s="2" t="s">
        <v>139</v>
      </c>
      <c r="B175" s="3" t="s">
        <v>80</v>
      </c>
      <c r="C175" s="27">
        <f t="shared" ca="1" si="80"/>
        <v>76</v>
      </c>
      <c r="D175" s="11" t="s">
        <v>128</v>
      </c>
      <c r="E175" s="11"/>
      <c r="F175" s="11">
        <f t="shared" si="74"/>
        <v>557383.92000000004</v>
      </c>
      <c r="G175" s="11">
        <v>0</v>
      </c>
      <c r="H175" s="11">
        <v>0</v>
      </c>
      <c r="I175" s="11">
        <v>557383.92000000004</v>
      </c>
      <c r="J175" s="11">
        <v>0</v>
      </c>
      <c r="K175" s="11">
        <v>0</v>
      </c>
    </row>
    <row r="176" spans="1:17" outlineLevel="1" x14ac:dyDescent="0.3">
      <c r="A176" s="2" t="s">
        <v>140</v>
      </c>
      <c r="B176" s="3" t="s">
        <v>80</v>
      </c>
      <c r="C176" s="27">
        <f t="shared" ca="1" si="80"/>
        <v>76</v>
      </c>
      <c r="D176" s="11" t="s">
        <v>128</v>
      </c>
      <c r="E176" s="11"/>
      <c r="F176" s="11">
        <f t="shared" si="74"/>
        <v>1739446.91</v>
      </c>
      <c r="G176" s="11">
        <v>0</v>
      </c>
      <c r="H176" s="11">
        <v>0</v>
      </c>
      <c r="I176" s="11">
        <v>1739446.91</v>
      </c>
      <c r="J176" s="11">
        <v>0</v>
      </c>
      <c r="K176" s="11">
        <v>0</v>
      </c>
    </row>
    <row r="177" spans="1:17" outlineLevel="1" x14ac:dyDescent="0.3">
      <c r="A177" s="2" t="s">
        <v>141</v>
      </c>
      <c r="B177" s="3" t="s">
        <v>80</v>
      </c>
      <c r="C177" s="27">
        <f t="shared" ca="1" si="80"/>
        <v>76</v>
      </c>
      <c r="D177" s="11" t="s">
        <v>128</v>
      </c>
      <c r="E177" s="11"/>
      <c r="F177" s="11">
        <f t="shared" si="74"/>
        <v>751898.55</v>
      </c>
      <c r="G177" s="11">
        <v>0</v>
      </c>
      <c r="H177" s="11">
        <v>0</v>
      </c>
      <c r="I177" s="11">
        <v>751898.55</v>
      </c>
      <c r="J177" s="11">
        <v>0</v>
      </c>
      <c r="K177" s="11">
        <v>0</v>
      </c>
    </row>
    <row r="178" spans="1:17" outlineLevel="1" x14ac:dyDescent="0.3">
      <c r="A178" s="2" t="s">
        <v>142</v>
      </c>
      <c r="B178" s="3" t="s">
        <v>143</v>
      </c>
      <c r="C178" s="27">
        <f t="shared" ca="1" si="80"/>
        <v>75</v>
      </c>
      <c r="D178" s="11" t="s">
        <v>128</v>
      </c>
      <c r="E178" s="11"/>
      <c r="F178" s="11">
        <f t="shared" si="74"/>
        <v>5644545.4900000002</v>
      </c>
      <c r="G178" s="11">
        <v>0</v>
      </c>
      <c r="H178" s="11">
        <v>0</v>
      </c>
      <c r="I178" s="11">
        <v>5644545.4900000002</v>
      </c>
      <c r="J178" s="11">
        <v>0</v>
      </c>
      <c r="K178" s="11">
        <v>0</v>
      </c>
    </row>
    <row r="179" spans="1:17" outlineLevel="1" x14ac:dyDescent="0.3">
      <c r="A179" s="2" t="s">
        <v>144</v>
      </c>
      <c r="B179" s="3" t="s">
        <v>145</v>
      </c>
      <c r="C179" s="27">
        <f t="shared" ca="1" si="80"/>
        <v>74</v>
      </c>
      <c r="D179" s="11" t="s">
        <v>128</v>
      </c>
      <c r="E179" s="11"/>
      <c r="F179" s="11">
        <f t="shared" si="74"/>
        <v>15087966.199999999</v>
      </c>
      <c r="G179" s="11">
        <v>0</v>
      </c>
      <c r="H179" s="11">
        <v>0</v>
      </c>
      <c r="I179" s="11">
        <v>15087966.199999999</v>
      </c>
      <c r="J179" s="11">
        <v>0</v>
      </c>
      <c r="K179" s="11">
        <v>0</v>
      </c>
    </row>
    <row r="180" spans="1:17" outlineLevel="1" x14ac:dyDescent="0.3">
      <c r="A180" s="2" t="s">
        <v>146</v>
      </c>
      <c r="B180" s="3" t="s">
        <v>100</v>
      </c>
      <c r="C180" s="3"/>
      <c r="D180" s="11" t="s">
        <v>128</v>
      </c>
      <c r="E180" s="11"/>
      <c r="F180" s="11">
        <f t="shared" si="74"/>
        <v>2388825.7200000002</v>
      </c>
      <c r="G180" s="11">
        <v>2388825.7200000002</v>
      </c>
      <c r="H180" s="11">
        <v>0</v>
      </c>
      <c r="I180" s="11">
        <v>0</v>
      </c>
      <c r="J180" s="11">
        <v>0</v>
      </c>
      <c r="K180" s="11">
        <v>0</v>
      </c>
    </row>
    <row r="181" spans="1:17" outlineLevel="1" x14ac:dyDescent="0.3">
      <c r="A181" s="2" t="s">
        <v>147</v>
      </c>
      <c r="B181" s="3" t="s">
        <v>100</v>
      </c>
      <c r="C181" s="3"/>
      <c r="D181" s="11" t="s">
        <v>128</v>
      </c>
      <c r="E181" s="11"/>
      <c r="F181" s="11">
        <f t="shared" si="74"/>
        <v>4744006.01</v>
      </c>
      <c r="G181" s="11">
        <v>4744006.01</v>
      </c>
      <c r="H181" s="11">
        <v>0</v>
      </c>
      <c r="I181" s="11">
        <v>0</v>
      </c>
      <c r="J181" s="11">
        <v>0</v>
      </c>
      <c r="K181" s="11">
        <v>0</v>
      </c>
    </row>
    <row r="182" spans="1:17" outlineLevel="1" x14ac:dyDescent="0.3">
      <c r="A182" s="2" t="s">
        <v>148</v>
      </c>
      <c r="B182" s="3" t="s">
        <v>100</v>
      </c>
      <c r="C182" s="3"/>
      <c r="D182" s="11" t="s">
        <v>128</v>
      </c>
      <c r="E182" s="11"/>
      <c r="F182" s="11">
        <f t="shared" si="74"/>
        <v>877172.48</v>
      </c>
      <c r="G182" s="11">
        <v>877172.48</v>
      </c>
      <c r="H182" s="11">
        <v>0</v>
      </c>
      <c r="I182" s="11">
        <v>0</v>
      </c>
      <c r="J182" s="11">
        <v>0</v>
      </c>
      <c r="K182" s="11">
        <v>0</v>
      </c>
    </row>
    <row r="183" spans="1:17" outlineLevel="1" x14ac:dyDescent="0.3">
      <c r="A183" s="2" t="s">
        <v>149</v>
      </c>
      <c r="B183" s="3" t="s">
        <v>10</v>
      </c>
      <c r="C183" s="3"/>
      <c r="D183" s="11" t="s">
        <v>128</v>
      </c>
      <c r="E183" s="11"/>
      <c r="F183" s="11">
        <f t="shared" si="74"/>
        <v>216174.99</v>
      </c>
      <c r="G183" s="11">
        <v>216174.99</v>
      </c>
      <c r="H183" s="11">
        <v>0</v>
      </c>
      <c r="I183" s="11">
        <v>0</v>
      </c>
      <c r="J183" s="11">
        <v>0</v>
      </c>
      <c r="K183" s="11">
        <v>0</v>
      </c>
    </row>
    <row r="184" spans="1:17" outlineLevel="1" x14ac:dyDescent="0.3">
      <c r="A184" s="2" t="s">
        <v>150</v>
      </c>
      <c r="B184" s="3" t="s">
        <v>30</v>
      </c>
      <c r="C184" s="3"/>
      <c r="D184" s="11" t="s">
        <v>128</v>
      </c>
      <c r="E184" s="11"/>
      <c r="F184" s="11">
        <f t="shared" si="74"/>
        <v>17891874.030000001</v>
      </c>
      <c r="G184" s="11">
        <v>0</v>
      </c>
      <c r="H184" s="11">
        <v>0</v>
      </c>
      <c r="I184" s="11">
        <v>0</v>
      </c>
      <c r="J184" s="11">
        <v>0</v>
      </c>
      <c r="K184" s="11">
        <v>17891874.030000001</v>
      </c>
    </row>
    <row r="185" spans="1:17" outlineLevel="1" x14ac:dyDescent="0.3">
      <c r="A185" s="2" t="s">
        <v>151</v>
      </c>
      <c r="B185" s="3" t="s">
        <v>30</v>
      </c>
      <c r="C185" s="3"/>
      <c r="D185" s="11" t="s">
        <v>128</v>
      </c>
      <c r="E185" s="11"/>
      <c r="F185" s="11">
        <f t="shared" si="74"/>
        <v>4734814.9800000004</v>
      </c>
      <c r="G185" s="11">
        <v>0</v>
      </c>
      <c r="H185" s="11">
        <v>0</v>
      </c>
      <c r="I185" s="11">
        <v>0</v>
      </c>
      <c r="J185" s="11">
        <v>0</v>
      </c>
      <c r="K185" s="11">
        <v>4734814.9800000004</v>
      </c>
    </row>
    <row r="186" spans="1:17" outlineLevel="1" x14ac:dyDescent="0.3">
      <c r="A186" s="2" t="s">
        <v>152</v>
      </c>
      <c r="B186" s="3" t="s">
        <v>16</v>
      </c>
      <c r="C186" s="3"/>
      <c r="D186" s="11" t="s">
        <v>128</v>
      </c>
      <c r="E186" s="11"/>
      <c r="F186" s="11">
        <f t="shared" ref="F186:F188" si="81">SUM(G186:K186)</f>
        <v>581534.06999999995</v>
      </c>
      <c r="G186" s="11">
        <v>0</v>
      </c>
      <c r="H186" s="11">
        <v>0</v>
      </c>
      <c r="I186" s="11">
        <v>0</v>
      </c>
      <c r="J186" s="11">
        <v>0</v>
      </c>
      <c r="K186" s="11">
        <v>581534.06999999995</v>
      </c>
    </row>
    <row r="187" spans="1:17" outlineLevel="1" x14ac:dyDescent="0.3">
      <c r="A187" s="2" t="s">
        <v>153</v>
      </c>
      <c r="B187" s="3" t="s">
        <v>154</v>
      </c>
      <c r="C187" s="3"/>
      <c r="D187" s="11" t="s">
        <v>128</v>
      </c>
      <c r="E187" s="11"/>
      <c r="F187" s="11">
        <f t="shared" si="81"/>
        <v>67290.87</v>
      </c>
      <c r="G187" s="11">
        <v>0</v>
      </c>
      <c r="H187" s="11">
        <v>0</v>
      </c>
      <c r="I187" s="11">
        <v>0</v>
      </c>
      <c r="J187" s="11">
        <v>0</v>
      </c>
      <c r="K187" s="11">
        <v>67290.87</v>
      </c>
    </row>
    <row r="188" spans="1:17" outlineLevel="1" x14ac:dyDescent="0.3">
      <c r="A188" s="2" t="s">
        <v>155</v>
      </c>
      <c r="B188" s="3" t="s">
        <v>154</v>
      </c>
      <c r="C188" s="3"/>
      <c r="D188" s="11" t="s">
        <v>128</v>
      </c>
      <c r="E188" s="11"/>
      <c r="F188" s="11">
        <f t="shared" si="81"/>
        <v>63596.89</v>
      </c>
      <c r="G188" s="11">
        <v>0</v>
      </c>
      <c r="H188" s="11">
        <v>0</v>
      </c>
      <c r="I188" s="11">
        <v>0</v>
      </c>
      <c r="J188" s="11">
        <v>0</v>
      </c>
      <c r="K188" s="11">
        <v>63596.89</v>
      </c>
    </row>
    <row r="189" spans="1:17" s="10" customFormat="1" x14ac:dyDescent="0.3">
      <c r="A189" s="7"/>
      <c r="B189" s="8"/>
      <c r="C189" s="8"/>
      <c r="D189" s="12" t="s">
        <v>320</v>
      </c>
      <c r="E189" s="33">
        <f>IF($F$195=0,0,F189/$F$195)</f>
        <v>0.18218187460408428</v>
      </c>
      <c r="F189" s="13">
        <f t="shared" ref="F189:K189" si="82">SUBTOTAL(9,F166:F188)</f>
        <v>88525175.609999985</v>
      </c>
      <c r="G189" s="13">
        <f t="shared" si="82"/>
        <v>8226179.2000000011</v>
      </c>
      <c r="H189" s="13">
        <f t="shared" si="82"/>
        <v>0</v>
      </c>
      <c r="I189" s="13">
        <f t="shared" si="82"/>
        <v>56959885.569999993</v>
      </c>
      <c r="J189" s="13">
        <f t="shared" si="82"/>
        <v>0</v>
      </c>
      <c r="K189" s="13">
        <f t="shared" si="82"/>
        <v>23339110.840000004</v>
      </c>
      <c r="L189" s="9"/>
      <c r="M189" s="9"/>
      <c r="N189" s="9"/>
      <c r="O189" s="9"/>
      <c r="P189" s="9"/>
      <c r="Q189" s="9"/>
    </row>
    <row r="190" spans="1:17" outlineLevel="1" x14ac:dyDescent="0.3">
      <c r="A190" s="2" t="s">
        <v>157</v>
      </c>
      <c r="B190" s="3" t="s">
        <v>158</v>
      </c>
      <c r="C190" s="27">
        <f t="shared" ref="C190:C191" ca="1" si="83">TODAY()-B190</f>
        <v>111</v>
      </c>
      <c r="D190" s="11" t="s">
        <v>156</v>
      </c>
      <c r="E190" s="11"/>
      <c r="F190" s="11">
        <f t="shared" ref="F190:F193" si="84">SUM(G190:K190)</f>
        <v>361851.51</v>
      </c>
      <c r="G190" s="11">
        <v>0</v>
      </c>
      <c r="H190" s="11">
        <v>0</v>
      </c>
      <c r="I190" s="11">
        <v>0</v>
      </c>
      <c r="J190" s="11">
        <v>361851.51</v>
      </c>
      <c r="K190" s="11">
        <v>0</v>
      </c>
    </row>
    <row r="191" spans="1:17" outlineLevel="1" x14ac:dyDescent="0.3">
      <c r="A191" s="2" t="s">
        <v>159</v>
      </c>
      <c r="B191" s="3" t="s">
        <v>43</v>
      </c>
      <c r="C191" s="27">
        <f t="shared" ca="1" si="83"/>
        <v>81</v>
      </c>
      <c r="D191" s="11" t="s">
        <v>156</v>
      </c>
      <c r="E191" s="11"/>
      <c r="F191" s="11">
        <f t="shared" si="84"/>
        <v>361219.42</v>
      </c>
      <c r="G191" s="11">
        <v>0</v>
      </c>
      <c r="H191" s="11">
        <v>0</v>
      </c>
      <c r="I191" s="11">
        <v>361219.42</v>
      </c>
      <c r="J191" s="11">
        <v>0</v>
      </c>
      <c r="K191" s="11">
        <v>0</v>
      </c>
    </row>
    <row r="192" spans="1:17" outlineLevel="1" x14ac:dyDescent="0.3">
      <c r="A192" s="2" t="s">
        <v>160</v>
      </c>
      <c r="B192" s="3" t="s">
        <v>80</v>
      </c>
      <c r="C192" s="3"/>
      <c r="D192" s="11" t="s">
        <v>156</v>
      </c>
      <c r="E192" s="11"/>
      <c r="F192" s="11">
        <f t="shared" si="84"/>
        <v>365354.79</v>
      </c>
      <c r="G192" s="11">
        <v>0</v>
      </c>
      <c r="H192" s="11">
        <v>0</v>
      </c>
      <c r="I192" s="11">
        <v>365354.79</v>
      </c>
      <c r="J192" s="11">
        <v>0</v>
      </c>
      <c r="K192" s="11">
        <v>0</v>
      </c>
    </row>
    <row r="193" spans="1:17" outlineLevel="1" x14ac:dyDescent="0.3">
      <c r="A193" s="2" t="s">
        <v>161</v>
      </c>
      <c r="B193" s="3" t="s">
        <v>100</v>
      </c>
      <c r="C193" s="3"/>
      <c r="D193" s="11" t="s">
        <v>156</v>
      </c>
      <c r="E193" s="11"/>
      <c r="F193" s="11">
        <f t="shared" si="84"/>
        <v>336454.33</v>
      </c>
      <c r="G193" s="11">
        <v>336454.33</v>
      </c>
      <c r="H193" s="11">
        <v>0</v>
      </c>
      <c r="I193" s="11">
        <v>0</v>
      </c>
      <c r="J193" s="11">
        <v>0</v>
      </c>
      <c r="K193" s="11">
        <v>0</v>
      </c>
    </row>
    <row r="194" spans="1:17" s="10" customFormat="1" x14ac:dyDescent="0.3">
      <c r="A194" s="7"/>
      <c r="B194" s="8"/>
      <c r="C194" s="8"/>
      <c r="D194" s="12" t="s">
        <v>321</v>
      </c>
      <c r="E194" s="33">
        <f>IF($F$195=0,0,F194/$F$195)</f>
        <v>2.9323558728488737E-3</v>
      </c>
      <c r="F194" s="13">
        <f>SUBTOTAL(9,F190:F193)</f>
        <v>1424880.05</v>
      </c>
      <c r="G194" s="13">
        <f t="shared" ref="G194:K194" si="85">SUBTOTAL(9,G190:G193)</f>
        <v>336454.33</v>
      </c>
      <c r="H194" s="13">
        <f t="shared" si="85"/>
        <v>0</v>
      </c>
      <c r="I194" s="13">
        <f t="shared" si="85"/>
        <v>726574.21</v>
      </c>
      <c r="J194" s="13">
        <f t="shared" si="85"/>
        <v>361851.51</v>
      </c>
      <c r="K194" s="13">
        <f t="shared" si="85"/>
        <v>0</v>
      </c>
      <c r="L194" s="9"/>
      <c r="M194" s="9"/>
      <c r="N194" s="9"/>
      <c r="O194" s="9"/>
      <c r="P194" s="9"/>
      <c r="Q194" s="9"/>
    </row>
    <row r="195" spans="1:17" x14ac:dyDescent="0.3">
      <c r="D195" s="28" t="s">
        <v>322</v>
      </c>
      <c r="E195" s="29">
        <f>SUM(E2:E194)</f>
        <v>0.99999999999999978</v>
      </c>
      <c r="F195" s="30">
        <f t="shared" ref="F195:K195" si="86">SUBTOTAL(9,F2:F194)</f>
        <v>485916482.10000014</v>
      </c>
      <c r="G195" s="30">
        <f t="shared" si="86"/>
        <v>113192748.41000003</v>
      </c>
      <c r="H195" s="30">
        <f t="shared" si="86"/>
        <v>29598672.91</v>
      </c>
      <c r="I195" s="30">
        <f t="shared" si="86"/>
        <v>83485278.960000008</v>
      </c>
      <c r="J195" s="30">
        <f t="shared" si="86"/>
        <v>87077726.529999986</v>
      </c>
      <c r="K195" s="30">
        <f t="shared" si="86"/>
        <v>172562055.28999996</v>
      </c>
    </row>
    <row r="196" spans="1:17" x14ac:dyDescent="0.3">
      <c r="D196" s="31" t="s">
        <v>332</v>
      </c>
      <c r="F196" s="32">
        <f>F146+F149+F153+F165+F189+F194</f>
        <v>99624656.299999982</v>
      </c>
      <c r="G196" s="32">
        <f t="shared" ref="G196:K196" si="87">G146+G149+G153+G165+G189+G194</f>
        <v>13326289.180000002</v>
      </c>
      <c r="H196" s="32">
        <f t="shared" si="87"/>
        <v>0</v>
      </c>
      <c r="I196" s="32">
        <f t="shared" si="87"/>
        <v>60998840.579999991</v>
      </c>
      <c r="J196" s="32">
        <f t="shared" si="87"/>
        <v>361851.51</v>
      </c>
      <c r="K196" s="32">
        <f t="shared" si="87"/>
        <v>24937675.030000005</v>
      </c>
    </row>
    <row r="197" spans="1:17" x14ac:dyDescent="0.3">
      <c r="F197" t="s">
        <v>324</v>
      </c>
      <c r="G197" s="34">
        <f>H195+I195+J195</f>
        <v>200161678.39999998</v>
      </c>
    </row>
    <row r="198" spans="1:17" x14ac:dyDescent="0.3">
      <c r="E198" s="37">
        <f>IF($G$197=0,0,G198/$G$197)</f>
        <v>0.30655564332038493</v>
      </c>
      <c r="F198" t="s">
        <v>325</v>
      </c>
      <c r="G198" s="34">
        <f>H196+I196+J196</f>
        <v>61360692.089999989</v>
      </c>
    </row>
    <row r="201" spans="1:17" x14ac:dyDescent="0.3">
      <c r="F201" s="35" t="s">
        <v>326</v>
      </c>
      <c r="G201" s="34">
        <f>G197-G198</f>
        <v>138800986.31</v>
      </c>
    </row>
    <row r="202" spans="1:17" x14ac:dyDescent="0.3">
      <c r="E202" s="37">
        <f>IF($G$201=0,0,G202/$G$201)</f>
        <v>8.0512299567102402E-2</v>
      </c>
      <c r="F202" s="35" t="s">
        <v>327</v>
      </c>
      <c r="G202" s="34">
        <f>H81+I81+J81</f>
        <v>11175186.59</v>
      </c>
    </row>
    <row r="203" spans="1:17" x14ac:dyDescent="0.3">
      <c r="E203" s="37">
        <f t="shared" ref="E203:E206" si="88">IF($G$201=0,0,G203/$G$201)</f>
        <v>4.1569228817391397E-2</v>
      </c>
      <c r="F203" s="35" t="s">
        <v>328</v>
      </c>
      <c r="G203" s="38">
        <f>H98+I98+J98</f>
        <v>5769849.9600000009</v>
      </c>
    </row>
    <row r="204" spans="1:17" x14ac:dyDescent="0.3">
      <c r="E204" s="37">
        <f t="shared" si="88"/>
        <v>6.3278216412553101E-2</v>
      </c>
      <c r="F204" s="35" t="s">
        <v>329</v>
      </c>
      <c r="G204" s="38">
        <f>H20+I20+J20</f>
        <v>8783078.8499999996</v>
      </c>
    </row>
    <row r="205" spans="1:17" x14ac:dyDescent="0.3">
      <c r="E205" s="37">
        <f t="shared" si="88"/>
        <v>4.019506307786265E-2</v>
      </c>
      <c r="F205" s="35" t="s">
        <v>330</v>
      </c>
      <c r="G205" s="34">
        <f>(H144+I144+J144)</f>
        <v>5579114.4000000004</v>
      </c>
    </row>
    <row r="206" spans="1:17" x14ac:dyDescent="0.3">
      <c r="E206" s="37">
        <f t="shared" si="88"/>
        <v>0.77444519212509044</v>
      </c>
      <c r="F206" s="36" t="s">
        <v>331</v>
      </c>
      <c r="G206" s="34">
        <f>G201-SUM(G202:G205)</f>
        <v>107493756.51000001</v>
      </c>
    </row>
    <row r="209" spans="6:7" x14ac:dyDescent="0.3">
      <c r="F209" t="s">
        <v>333</v>
      </c>
      <c r="G209" s="34">
        <f>G198+G206</f>
        <v>168854448.59999999</v>
      </c>
    </row>
    <row r="210" spans="6:7" x14ac:dyDescent="0.3">
      <c r="F210" t="s">
        <v>334</v>
      </c>
      <c r="G210" s="34">
        <f>SUM(G202:G205)</f>
        <v>31307229.799999997</v>
      </c>
    </row>
    <row r="211" spans="6:7" x14ac:dyDescent="0.3">
      <c r="F211" t="s">
        <v>335</v>
      </c>
      <c r="G211" s="34">
        <f>SUM(G209:G210)</f>
        <v>200161678.39999998</v>
      </c>
    </row>
  </sheetData>
  <autoFilter ref="A1:Q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0593-5A6B-4431-9960-1D241A44CF42}">
  <sheetPr filterMode="1"/>
  <dimension ref="A1:K31"/>
  <sheetViews>
    <sheetView workbookViewId="0">
      <selection activeCell="A4" sqref="A4:K4 A6:K6 A11:K11 A13:K13 A17:K17 A21:K21 A24:K24 A28:K28"/>
    </sheetView>
  </sheetViews>
  <sheetFormatPr baseColWidth="10" defaultRowHeight="14.4" x14ac:dyDescent="0.3"/>
  <sheetData>
    <row r="1" spans="1:11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</row>
    <row r="2" spans="1:11" s="18" customFormat="1" ht="15.75" hidden="1" customHeight="1" x14ac:dyDescent="0.3">
      <c r="A2" s="15" t="s">
        <v>234</v>
      </c>
      <c r="B2" s="16" t="s">
        <v>235</v>
      </c>
      <c r="C2" s="16"/>
      <c r="D2" s="17" t="s">
        <v>233</v>
      </c>
      <c r="E2" s="17"/>
      <c r="F2" s="17">
        <f t="shared" ref="F2:F31" si="0">SUM(G2:K2)</f>
        <v>2202282</v>
      </c>
      <c r="G2" s="17">
        <v>0</v>
      </c>
      <c r="H2" s="17">
        <v>0</v>
      </c>
      <c r="I2" s="17">
        <v>0</v>
      </c>
      <c r="J2" s="17">
        <v>2202282</v>
      </c>
      <c r="K2" s="17">
        <v>0</v>
      </c>
    </row>
    <row r="3" spans="1:11" s="6" customFormat="1" hidden="1" x14ac:dyDescent="0.3">
      <c r="A3" s="4" t="s">
        <v>236</v>
      </c>
      <c r="B3" s="5" t="s">
        <v>237</v>
      </c>
      <c r="C3" s="5"/>
      <c r="D3" s="14" t="s">
        <v>233</v>
      </c>
      <c r="E3" s="14"/>
      <c r="F3" s="14">
        <f t="shared" si="0"/>
        <v>4037517</v>
      </c>
      <c r="G3" s="14">
        <v>0</v>
      </c>
      <c r="H3" s="14">
        <v>0</v>
      </c>
      <c r="I3" s="14">
        <v>0</v>
      </c>
      <c r="J3" s="14">
        <v>4037517</v>
      </c>
      <c r="K3" s="14">
        <v>0</v>
      </c>
    </row>
    <row r="4" spans="1:11" s="26" customFormat="1" x14ac:dyDescent="0.3">
      <c r="A4" s="23" t="s">
        <v>238</v>
      </c>
      <c r="B4" s="24" t="s">
        <v>235</v>
      </c>
      <c r="C4" s="24"/>
      <c r="D4" s="25" t="s">
        <v>233</v>
      </c>
      <c r="E4" s="25"/>
      <c r="F4" s="25">
        <f t="shared" si="0"/>
        <v>12406188.6</v>
      </c>
      <c r="G4" s="25">
        <v>0</v>
      </c>
      <c r="H4" s="25">
        <v>0</v>
      </c>
      <c r="I4" s="25">
        <v>0</v>
      </c>
      <c r="J4" s="25">
        <v>12406188.6</v>
      </c>
      <c r="K4" s="25">
        <v>0</v>
      </c>
    </row>
    <row r="5" spans="1:11" s="22" customFormat="1" hidden="1" x14ac:dyDescent="0.3">
      <c r="A5" s="19" t="s">
        <v>239</v>
      </c>
      <c r="B5" s="20" t="s">
        <v>240</v>
      </c>
      <c r="C5" s="20"/>
      <c r="D5" s="21" t="s">
        <v>233</v>
      </c>
      <c r="E5" s="21"/>
      <c r="F5" s="21">
        <f t="shared" si="0"/>
        <v>7924985.1900000004</v>
      </c>
      <c r="G5" s="21">
        <v>0</v>
      </c>
      <c r="H5" s="21">
        <v>0</v>
      </c>
      <c r="I5" s="21">
        <v>0</v>
      </c>
      <c r="J5" s="21">
        <v>7924985.1900000004</v>
      </c>
      <c r="K5" s="21">
        <v>0</v>
      </c>
    </row>
    <row r="6" spans="1:11" s="26" customFormat="1" x14ac:dyDescent="0.3">
      <c r="A6" s="23" t="s">
        <v>241</v>
      </c>
      <c r="B6" s="24" t="s">
        <v>104</v>
      </c>
      <c r="C6" s="24"/>
      <c r="D6" s="25" t="s">
        <v>233</v>
      </c>
      <c r="E6" s="25"/>
      <c r="F6" s="25">
        <f t="shared" si="0"/>
        <v>2995103.52</v>
      </c>
      <c r="G6" s="25">
        <v>0</v>
      </c>
      <c r="H6" s="25">
        <v>0</v>
      </c>
      <c r="I6" s="25">
        <v>0</v>
      </c>
      <c r="J6" s="25">
        <v>2995103.52</v>
      </c>
      <c r="K6" s="25">
        <v>0</v>
      </c>
    </row>
    <row r="7" spans="1:11" s="18" customFormat="1" hidden="1" x14ac:dyDescent="0.3">
      <c r="A7" s="15" t="s">
        <v>242</v>
      </c>
      <c r="B7" s="16" t="s">
        <v>104</v>
      </c>
      <c r="C7" s="16"/>
      <c r="D7" s="17" t="s">
        <v>233</v>
      </c>
      <c r="E7" s="17"/>
      <c r="F7" s="17">
        <f t="shared" si="0"/>
        <v>2862966.6</v>
      </c>
      <c r="G7" s="17">
        <v>0</v>
      </c>
      <c r="H7" s="17">
        <v>0</v>
      </c>
      <c r="I7" s="17">
        <v>0</v>
      </c>
      <c r="J7" s="17">
        <v>2862966.6</v>
      </c>
      <c r="K7" s="17">
        <v>0</v>
      </c>
    </row>
    <row r="8" spans="1:11" s="6" customFormat="1" hidden="1" x14ac:dyDescent="0.3">
      <c r="A8" s="4" t="s">
        <v>243</v>
      </c>
      <c r="B8" s="5" t="s">
        <v>104</v>
      </c>
      <c r="C8" s="5"/>
      <c r="D8" s="14" t="s">
        <v>233</v>
      </c>
      <c r="E8" s="14"/>
      <c r="F8" s="14">
        <f t="shared" si="0"/>
        <v>2862966.6</v>
      </c>
      <c r="G8" s="14">
        <v>0</v>
      </c>
      <c r="H8" s="14">
        <v>0</v>
      </c>
      <c r="I8" s="14">
        <v>0</v>
      </c>
      <c r="J8" s="14">
        <v>2862966.6</v>
      </c>
      <c r="K8" s="14">
        <v>0</v>
      </c>
    </row>
    <row r="9" spans="1:11" s="22" customFormat="1" hidden="1" x14ac:dyDescent="0.3">
      <c r="A9" s="19" t="s">
        <v>244</v>
      </c>
      <c r="B9" s="20" t="s">
        <v>245</v>
      </c>
      <c r="C9" s="20"/>
      <c r="D9" s="21" t="s">
        <v>233</v>
      </c>
      <c r="E9" s="21"/>
      <c r="F9" s="21">
        <f t="shared" si="0"/>
        <v>29810.39</v>
      </c>
      <c r="G9" s="21">
        <v>0</v>
      </c>
      <c r="H9" s="21">
        <v>0</v>
      </c>
      <c r="I9" s="21">
        <v>29810.39</v>
      </c>
      <c r="J9" s="21">
        <v>0</v>
      </c>
      <c r="K9" s="21">
        <v>0</v>
      </c>
    </row>
    <row r="10" spans="1:11" s="6" customFormat="1" hidden="1" x14ac:dyDescent="0.3">
      <c r="A10" s="4" t="s">
        <v>246</v>
      </c>
      <c r="B10" s="5" t="s">
        <v>229</v>
      </c>
      <c r="C10" s="5"/>
      <c r="D10" s="14" t="s">
        <v>233</v>
      </c>
      <c r="E10" s="14"/>
      <c r="F10" s="14">
        <f t="shared" si="0"/>
        <v>30153.599999999999</v>
      </c>
      <c r="G10" s="14">
        <v>0</v>
      </c>
      <c r="H10" s="14">
        <v>0</v>
      </c>
      <c r="I10" s="14">
        <v>30153.599999999999</v>
      </c>
      <c r="J10" s="14">
        <v>0</v>
      </c>
      <c r="K10" s="14">
        <v>0</v>
      </c>
    </row>
    <row r="11" spans="1:11" s="26" customFormat="1" x14ac:dyDescent="0.3">
      <c r="A11" s="23" t="s">
        <v>247</v>
      </c>
      <c r="B11" s="24" t="s">
        <v>20</v>
      </c>
      <c r="C11" s="24"/>
      <c r="D11" s="25" t="s">
        <v>233</v>
      </c>
      <c r="E11" s="25"/>
      <c r="F11" s="25">
        <f t="shared" si="0"/>
        <v>20306.560000000001</v>
      </c>
      <c r="G11" s="25">
        <v>0</v>
      </c>
      <c r="H11" s="25">
        <v>0</v>
      </c>
      <c r="I11" s="25">
        <v>0</v>
      </c>
      <c r="J11" s="25">
        <v>20306.560000000001</v>
      </c>
      <c r="K11" s="25">
        <v>0</v>
      </c>
    </row>
    <row r="12" spans="1:11" s="18" customFormat="1" hidden="1" x14ac:dyDescent="0.3">
      <c r="A12" s="15" t="s">
        <v>248</v>
      </c>
      <c r="B12" s="16" t="s">
        <v>20</v>
      </c>
      <c r="C12" s="16"/>
      <c r="D12" s="17" t="s">
        <v>233</v>
      </c>
      <c r="E12" s="17"/>
      <c r="F12" s="17">
        <f t="shared" si="0"/>
        <v>11896.96</v>
      </c>
      <c r="G12" s="17">
        <v>0</v>
      </c>
      <c r="H12" s="17">
        <v>0</v>
      </c>
      <c r="I12" s="17">
        <v>0</v>
      </c>
      <c r="J12" s="17">
        <v>11896.96</v>
      </c>
      <c r="K12" s="17">
        <v>0</v>
      </c>
    </row>
    <row r="13" spans="1:11" s="26" customFormat="1" x14ac:dyDescent="0.3">
      <c r="A13" s="23" t="s">
        <v>249</v>
      </c>
      <c r="B13" s="24" t="s">
        <v>104</v>
      </c>
      <c r="C13" s="24"/>
      <c r="D13" s="25" t="s">
        <v>233</v>
      </c>
      <c r="E13" s="25"/>
      <c r="F13" s="25">
        <f t="shared" si="0"/>
        <v>3670470</v>
      </c>
      <c r="G13" s="25">
        <v>0</v>
      </c>
      <c r="H13" s="25">
        <v>0</v>
      </c>
      <c r="I13" s="25">
        <v>0</v>
      </c>
      <c r="J13" s="25">
        <v>3670470</v>
      </c>
      <c r="K13" s="25">
        <v>0</v>
      </c>
    </row>
    <row r="14" spans="1:11" s="18" customFormat="1" hidden="1" x14ac:dyDescent="0.3">
      <c r="A14" s="15" t="s">
        <v>250</v>
      </c>
      <c r="B14" s="16" t="s">
        <v>104</v>
      </c>
      <c r="C14" s="16"/>
      <c r="D14" s="17" t="s">
        <v>233</v>
      </c>
      <c r="E14" s="17"/>
      <c r="F14" s="17">
        <f t="shared" si="0"/>
        <v>3670470</v>
      </c>
      <c r="G14" s="17">
        <v>0</v>
      </c>
      <c r="H14" s="17">
        <v>0</v>
      </c>
      <c r="I14" s="17">
        <v>0</v>
      </c>
      <c r="J14" s="17">
        <v>3670470</v>
      </c>
      <c r="K14" s="17">
        <v>0</v>
      </c>
    </row>
    <row r="15" spans="1:11" s="6" customFormat="1" hidden="1" x14ac:dyDescent="0.3">
      <c r="A15" s="4" t="s">
        <v>251</v>
      </c>
      <c r="B15" s="5" t="s">
        <v>104</v>
      </c>
      <c r="C15" s="5"/>
      <c r="D15" s="14" t="s">
        <v>233</v>
      </c>
      <c r="E15" s="14"/>
      <c r="F15" s="14">
        <f t="shared" si="0"/>
        <v>5505705</v>
      </c>
      <c r="G15" s="14">
        <v>0</v>
      </c>
      <c r="H15" s="14">
        <v>0</v>
      </c>
      <c r="I15" s="14">
        <v>0</v>
      </c>
      <c r="J15" s="14">
        <v>5505705</v>
      </c>
      <c r="K15" s="14">
        <v>0</v>
      </c>
    </row>
    <row r="16" spans="1:11" s="22" customFormat="1" hidden="1" x14ac:dyDescent="0.3">
      <c r="A16" s="19" t="s">
        <v>252</v>
      </c>
      <c r="B16" s="20" t="s">
        <v>253</v>
      </c>
      <c r="C16" s="20"/>
      <c r="D16" s="21" t="s">
        <v>233</v>
      </c>
      <c r="E16" s="21"/>
      <c r="F16" s="21">
        <f t="shared" si="0"/>
        <v>10255293.18</v>
      </c>
      <c r="G16" s="21">
        <v>0</v>
      </c>
      <c r="H16" s="21">
        <v>10255293.18</v>
      </c>
      <c r="I16" s="21">
        <v>0</v>
      </c>
      <c r="J16" s="21">
        <v>0</v>
      </c>
      <c r="K16" s="21">
        <v>0</v>
      </c>
    </row>
    <row r="17" spans="1:11" s="26" customFormat="1" x14ac:dyDescent="0.3">
      <c r="A17" s="23" t="s">
        <v>254</v>
      </c>
      <c r="B17" s="24" t="s">
        <v>89</v>
      </c>
      <c r="C17" s="24"/>
      <c r="D17" s="25" t="s">
        <v>233</v>
      </c>
      <c r="E17" s="25"/>
      <c r="F17" s="25">
        <f t="shared" si="0"/>
        <v>37647.29</v>
      </c>
      <c r="G17" s="25">
        <v>0</v>
      </c>
      <c r="H17" s="25">
        <v>37647.29</v>
      </c>
      <c r="I17" s="25">
        <v>0</v>
      </c>
      <c r="J17" s="25">
        <v>0</v>
      </c>
      <c r="K17" s="25">
        <v>0</v>
      </c>
    </row>
    <row r="18" spans="1:11" s="18" customFormat="1" hidden="1" x14ac:dyDescent="0.3">
      <c r="A18" s="15" t="s">
        <v>255</v>
      </c>
      <c r="B18" s="16" t="s">
        <v>89</v>
      </c>
      <c r="C18" s="16"/>
      <c r="D18" s="17" t="s">
        <v>233</v>
      </c>
      <c r="E18" s="17"/>
      <c r="F18" s="17">
        <f t="shared" si="0"/>
        <v>12986.46</v>
      </c>
      <c r="G18" s="17">
        <v>0</v>
      </c>
      <c r="H18" s="17">
        <v>12986.46</v>
      </c>
      <c r="I18" s="17">
        <v>0</v>
      </c>
      <c r="J18" s="17">
        <v>0</v>
      </c>
      <c r="K18" s="17">
        <v>0</v>
      </c>
    </row>
    <row r="19" spans="1:11" s="6" customFormat="1" hidden="1" x14ac:dyDescent="0.3">
      <c r="A19" s="4" t="s">
        <v>256</v>
      </c>
      <c r="B19" s="5" t="s">
        <v>89</v>
      </c>
      <c r="C19" s="5"/>
      <c r="D19" s="14" t="s">
        <v>233</v>
      </c>
      <c r="E19" s="14"/>
      <c r="F19" s="14">
        <f t="shared" si="0"/>
        <v>23871.599999999999</v>
      </c>
      <c r="G19" s="14">
        <v>0</v>
      </c>
      <c r="H19" s="14">
        <v>23871.599999999999</v>
      </c>
      <c r="I19" s="14">
        <v>0</v>
      </c>
      <c r="J19" s="14">
        <v>0</v>
      </c>
      <c r="K19" s="14">
        <v>0</v>
      </c>
    </row>
    <row r="20" spans="1:11" s="22" customFormat="1" hidden="1" x14ac:dyDescent="0.3">
      <c r="A20" s="19" t="s">
        <v>257</v>
      </c>
      <c r="B20" s="20" t="s">
        <v>19</v>
      </c>
      <c r="C20" s="20"/>
      <c r="D20" s="21" t="s">
        <v>233</v>
      </c>
      <c r="E20" s="21"/>
      <c r="F20" s="21">
        <f t="shared" si="0"/>
        <v>11349753.92</v>
      </c>
      <c r="G20" s="21">
        <v>11349753.92</v>
      </c>
      <c r="H20" s="21">
        <v>0</v>
      </c>
      <c r="I20" s="21">
        <v>0</v>
      </c>
      <c r="J20" s="21">
        <v>0</v>
      </c>
      <c r="K20" s="21">
        <v>0</v>
      </c>
    </row>
    <row r="21" spans="1:11" s="26" customFormat="1" x14ac:dyDescent="0.3">
      <c r="A21" s="23" t="s">
        <v>258</v>
      </c>
      <c r="B21" s="24" t="s">
        <v>175</v>
      </c>
      <c r="C21" s="24"/>
      <c r="D21" s="25" t="s">
        <v>233</v>
      </c>
      <c r="E21" s="25"/>
      <c r="F21" s="25">
        <f t="shared" si="0"/>
        <v>7228807.1399999997</v>
      </c>
      <c r="G21" s="25">
        <v>7228807.1399999997</v>
      </c>
      <c r="H21" s="25">
        <v>0</v>
      </c>
      <c r="I21" s="25">
        <v>0</v>
      </c>
      <c r="J21" s="25">
        <v>0</v>
      </c>
      <c r="K21" s="25">
        <v>0</v>
      </c>
    </row>
    <row r="22" spans="1:11" s="18" customFormat="1" hidden="1" x14ac:dyDescent="0.3">
      <c r="A22" s="15" t="s">
        <v>259</v>
      </c>
      <c r="B22" s="16" t="s">
        <v>175</v>
      </c>
      <c r="C22" s="16"/>
      <c r="D22" s="17" t="s">
        <v>233</v>
      </c>
      <c r="E22" s="17"/>
      <c r="F22" s="17">
        <f t="shared" si="0"/>
        <v>5591520.5899999999</v>
      </c>
      <c r="G22" s="17">
        <v>5591520.5899999999</v>
      </c>
      <c r="H22" s="17">
        <v>0</v>
      </c>
      <c r="I22" s="17">
        <v>0</v>
      </c>
      <c r="J22" s="17">
        <v>0</v>
      </c>
      <c r="K22" s="17">
        <v>0</v>
      </c>
    </row>
    <row r="23" spans="1:11" s="6" customFormat="1" hidden="1" x14ac:dyDescent="0.3">
      <c r="A23" s="4" t="s">
        <v>260</v>
      </c>
      <c r="B23" s="5" t="s">
        <v>175</v>
      </c>
      <c r="C23" s="5"/>
      <c r="D23" s="14" t="s">
        <v>233</v>
      </c>
      <c r="E23" s="14"/>
      <c r="F23" s="14">
        <f t="shared" si="0"/>
        <v>8368671.5999999996</v>
      </c>
      <c r="G23" s="14">
        <v>8368671.5999999996</v>
      </c>
      <c r="H23" s="14">
        <v>0</v>
      </c>
      <c r="I23" s="14">
        <v>0</v>
      </c>
      <c r="J23" s="14">
        <v>0</v>
      </c>
      <c r="K23" s="14">
        <v>0</v>
      </c>
    </row>
    <row r="24" spans="1:11" s="26" customFormat="1" x14ac:dyDescent="0.3">
      <c r="A24" s="23" t="s">
        <v>261</v>
      </c>
      <c r="B24" s="24" t="s">
        <v>262</v>
      </c>
      <c r="C24" s="24"/>
      <c r="D24" s="25" t="s">
        <v>233</v>
      </c>
      <c r="E24" s="25"/>
      <c r="F24" s="25">
        <f t="shared" si="0"/>
        <v>7353493.0099999998</v>
      </c>
      <c r="G24" s="25">
        <v>0</v>
      </c>
      <c r="H24" s="25">
        <v>0</v>
      </c>
      <c r="I24" s="25">
        <v>0</v>
      </c>
      <c r="J24" s="25">
        <v>0</v>
      </c>
      <c r="K24" s="25">
        <v>7353493.0099999998</v>
      </c>
    </row>
    <row r="25" spans="1:11" s="18" customFormat="1" hidden="1" x14ac:dyDescent="0.3">
      <c r="A25" s="15" t="s">
        <v>263</v>
      </c>
      <c r="B25" s="16" t="s">
        <v>262</v>
      </c>
      <c r="C25" s="16"/>
      <c r="D25" s="17" t="s">
        <v>233</v>
      </c>
      <c r="E25" s="17"/>
      <c r="F25" s="17">
        <f t="shared" si="0"/>
        <v>3181343.17</v>
      </c>
      <c r="G25" s="17">
        <v>0</v>
      </c>
      <c r="H25" s="17">
        <v>0</v>
      </c>
      <c r="I25" s="17">
        <v>0</v>
      </c>
      <c r="J25" s="17">
        <v>0</v>
      </c>
      <c r="K25" s="17">
        <v>3181343.17</v>
      </c>
    </row>
    <row r="26" spans="1:11" s="6" customFormat="1" hidden="1" x14ac:dyDescent="0.3">
      <c r="A26" s="4" t="s">
        <v>264</v>
      </c>
      <c r="B26" s="5" t="s">
        <v>262</v>
      </c>
      <c r="C26" s="5"/>
      <c r="D26" s="14" t="s">
        <v>233</v>
      </c>
      <c r="E26" s="14"/>
      <c r="F26" s="14">
        <f t="shared" si="0"/>
        <v>8368671.5999999996</v>
      </c>
      <c r="G26" s="14">
        <v>0</v>
      </c>
      <c r="H26" s="14">
        <v>0</v>
      </c>
      <c r="I26" s="14">
        <v>0</v>
      </c>
      <c r="J26" s="14">
        <v>0</v>
      </c>
      <c r="K26" s="14">
        <v>8368671.5999999996</v>
      </c>
    </row>
    <row r="27" spans="1:11" s="22" customFormat="1" hidden="1" x14ac:dyDescent="0.3">
      <c r="A27" s="19" t="s">
        <v>265</v>
      </c>
      <c r="B27" s="20" t="s">
        <v>172</v>
      </c>
      <c r="C27" s="20"/>
      <c r="D27" s="21" t="s">
        <v>233</v>
      </c>
      <c r="E27" s="21"/>
      <c r="F27" s="21">
        <f t="shared" si="0"/>
        <v>9956700.4499999993</v>
      </c>
      <c r="G27" s="21">
        <v>0</v>
      </c>
      <c r="H27" s="21">
        <v>0</v>
      </c>
      <c r="I27" s="21">
        <v>0</v>
      </c>
      <c r="J27" s="21">
        <v>0</v>
      </c>
      <c r="K27" s="21">
        <v>9956700.4499999993</v>
      </c>
    </row>
    <row r="28" spans="1:11" s="26" customFormat="1" x14ac:dyDescent="0.3">
      <c r="A28" s="23" t="s">
        <v>266</v>
      </c>
      <c r="B28" s="24" t="s">
        <v>267</v>
      </c>
      <c r="C28" s="24"/>
      <c r="D28" s="25" t="s">
        <v>233</v>
      </c>
      <c r="E28" s="25"/>
      <c r="F28" s="25">
        <f t="shared" si="0"/>
        <v>7588804.4299999997</v>
      </c>
      <c r="G28" s="25">
        <v>0</v>
      </c>
      <c r="H28" s="25">
        <v>0</v>
      </c>
      <c r="I28" s="25">
        <v>0</v>
      </c>
      <c r="J28" s="25">
        <v>0</v>
      </c>
      <c r="K28" s="25">
        <v>7588804.4299999997</v>
      </c>
    </row>
    <row r="29" spans="1:11" s="18" customFormat="1" hidden="1" x14ac:dyDescent="0.3">
      <c r="A29" s="15" t="s">
        <v>268</v>
      </c>
      <c r="B29" s="16" t="s">
        <v>267</v>
      </c>
      <c r="C29" s="16"/>
      <c r="D29" s="17" t="s">
        <v>233</v>
      </c>
      <c r="E29" s="17"/>
      <c r="F29" s="17">
        <f t="shared" si="0"/>
        <v>7588730.5999999996</v>
      </c>
      <c r="G29" s="17">
        <v>0</v>
      </c>
      <c r="H29" s="17">
        <v>0</v>
      </c>
      <c r="I29" s="17">
        <v>0</v>
      </c>
      <c r="J29" s="17">
        <v>0</v>
      </c>
      <c r="K29" s="17">
        <v>7588730.5999999996</v>
      </c>
    </row>
    <row r="30" spans="1:11" s="6" customFormat="1" hidden="1" x14ac:dyDescent="0.3">
      <c r="A30" s="4" t="s">
        <v>269</v>
      </c>
      <c r="B30" s="5" t="s">
        <v>267</v>
      </c>
      <c r="C30" s="5"/>
      <c r="D30" s="14" t="s">
        <v>233</v>
      </c>
      <c r="E30" s="14"/>
      <c r="F30" s="14">
        <f t="shared" si="0"/>
        <v>8416255.1999999993</v>
      </c>
      <c r="G30" s="14">
        <v>0</v>
      </c>
      <c r="H30" s="14">
        <v>0</v>
      </c>
      <c r="I30" s="14">
        <v>0</v>
      </c>
      <c r="J30" s="14">
        <v>0</v>
      </c>
      <c r="K30" s="14">
        <v>8416255.1999999993</v>
      </c>
    </row>
    <row r="31" spans="1:11" s="22" customFormat="1" hidden="1" x14ac:dyDescent="0.3">
      <c r="A31" s="19" t="s">
        <v>270</v>
      </c>
      <c r="B31" s="20" t="s">
        <v>267</v>
      </c>
      <c r="C31" s="20"/>
      <c r="D31" s="21" t="s">
        <v>233</v>
      </c>
      <c r="E31" s="21"/>
      <c r="F31" s="21">
        <f t="shared" si="0"/>
        <v>10013313.449999999</v>
      </c>
      <c r="G31" s="21">
        <v>0</v>
      </c>
      <c r="H31" s="21">
        <v>0</v>
      </c>
      <c r="I31" s="21">
        <v>0</v>
      </c>
      <c r="J31" s="21">
        <v>0</v>
      </c>
      <c r="K31" s="21">
        <v>10013313.449999999</v>
      </c>
    </row>
  </sheetData>
  <autoFilter ref="A1:Q31" xr:uid="{4B680593-5A6B-4431-9960-1D241A44CF42}">
    <filterColumn colId="0">
      <colorFilter dxfId="0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Marzo</vt:lpstr>
      <vt:lpstr>Hoja1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Cristian Parada</cp:lastModifiedBy>
  <dcterms:created xsi:type="dcterms:W3CDTF">2026-03-05T17:24:49Z</dcterms:created>
  <dcterms:modified xsi:type="dcterms:W3CDTF">2026-03-18T13:34:25Z</dcterms:modified>
</cp:coreProperties>
</file>