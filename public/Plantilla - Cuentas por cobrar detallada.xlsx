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TESORERIA\Web cuentas por cobrar\public\"/>
    </mc:Choice>
  </mc:AlternateContent>
  <xr:revisionPtr revIDLastSave="0" documentId="13_ncr:1_{4CCCB5AF-7603-4E1A-9711-B7A9B2917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zo" sheetId="1" r:id="rId1"/>
    <sheet name="Hoja1" sheetId="2" r:id="rId2"/>
  </sheets>
  <definedNames>
    <definedName name="_xlnm._FilterDatabase" localSheetId="1" hidden="1">Hoja1!$A$1:$Q$31</definedName>
    <definedName name="_xlnm._FilterDatabase" localSheetId="0" hidden="1">Marzo!$A$1:$Q$1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F2" i="1"/>
  <c r="C2" i="1"/>
  <c r="C5" i="1" l="1"/>
  <c r="C3" i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J6" i="1"/>
  <c r="I6" i="1"/>
  <c r="H6" i="1"/>
  <c r="G6" i="1"/>
  <c r="F5" i="1"/>
  <c r="F4" i="1"/>
  <c r="F3" i="1"/>
  <c r="H7" i="1" l="1"/>
  <c r="G14" i="1"/>
  <c r="G17" i="1"/>
  <c r="G8" i="1"/>
  <c r="H8" i="1"/>
  <c r="I8" i="1"/>
  <c r="J8" i="1"/>
  <c r="K8" i="1"/>
  <c r="G16" i="1"/>
  <c r="K7" i="1"/>
  <c r="G7" i="1"/>
  <c r="I7" i="1"/>
  <c r="J7" i="1"/>
  <c r="F6" i="1"/>
  <c r="G15" i="1" l="1"/>
  <c r="G22" i="1" s="1"/>
  <c r="F8" i="1"/>
  <c r="G9" i="1"/>
  <c r="G10" i="1"/>
  <c r="F7" i="1"/>
  <c r="E10" i="1" l="1"/>
  <c r="G13" i="1"/>
  <c r="G18" i="1" s="1"/>
  <c r="E6" i="1"/>
  <c r="G21" i="1" l="1"/>
  <c r="G23" i="1" s="1"/>
  <c r="E17" i="1"/>
  <c r="E16" i="1"/>
  <c r="E15" i="1"/>
  <c r="E14" i="1"/>
  <c r="E7" i="1"/>
  <c r="E18" i="1" l="1"/>
</calcChain>
</file>

<file path=xl/sharedStrings.xml><?xml version="1.0" encoding="utf-8"?>
<sst xmlns="http://schemas.openxmlformats.org/spreadsheetml/2006/main" count="127" uniqueCount="79">
  <si>
    <t>Cliente</t>
  </si>
  <si>
    <t>Documento</t>
  </si>
  <si>
    <t>Fecha vencimiento</t>
  </si>
  <si>
    <t>Vencido 1 a 30</t>
  </si>
  <si>
    <t>Vencido 31 a 60</t>
  </si>
  <si>
    <t>Vencido 61 a 90</t>
  </si>
  <si>
    <t>Vencido más de 91</t>
  </si>
  <si>
    <t>Saldo por vencer</t>
  </si>
  <si>
    <t>Total cartera</t>
  </si>
  <si>
    <t>ACT&amp;J CONSULTORES ASOCIADOS SAS</t>
  </si>
  <si>
    <t>FV-4-6182</t>
  </si>
  <si>
    <t>04/09/2025</t>
  </si>
  <si>
    <t>FV-4-6598</t>
  </si>
  <si>
    <t>29/01/2026</t>
  </si>
  <si>
    <t>FV-4-6695</t>
  </si>
  <si>
    <t>19/03/2026</t>
  </si>
  <si>
    <t>FV-5-179</t>
  </si>
  <si>
    <t>21/01/2026</t>
  </si>
  <si>
    <t>13/02/2026</t>
  </si>
  <si>
    <t>28/11/2025</t>
  </si>
  <si>
    <t>26/01/2026</t>
  </si>
  <si>
    <t>23/11/2025</t>
  </si>
  <si>
    <t>27/03/2026</t>
  </si>
  <si>
    <t>20/02/2026</t>
  </si>
  <si>
    <t>21/12/2025</t>
  </si>
  <si>
    <t>Safeguard World International Limited</t>
  </si>
  <si>
    <t>FV-4-6246</t>
  </si>
  <si>
    <t>18/10/2025</t>
  </si>
  <si>
    <t>FV-4-6247</t>
  </si>
  <si>
    <t>27/10/2025</t>
  </si>
  <si>
    <t>FV-4-6248</t>
  </si>
  <si>
    <t>FV-4-6275</t>
  </si>
  <si>
    <t>10/11/2025</t>
  </si>
  <si>
    <t>FV-4-6311</t>
  </si>
  <si>
    <t>FV-4-6312</t>
  </si>
  <si>
    <t>FV-4-6313</t>
  </si>
  <si>
    <t>FV-4-6384</t>
  </si>
  <si>
    <t>20/12/2025</t>
  </si>
  <si>
    <t>FV-4-6385</t>
  </si>
  <si>
    <t>FV-4-6400</t>
  </si>
  <si>
    <t>FV-4-6401</t>
  </si>
  <si>
    <t>FV-4-6433</t>
  </si>
  <si>
    <t>FV-4-6434</t>
  </si>
  <si>
    <t>FV-4-6435</t>
  </si>
  <si>
    <t>FV-4-6439</t>
  </si>
  <si>
    <t>11/01/2026</t>
  </si>
  <si>
    <t>FV-4-6482</t>
  </si>
  <si>
    <t>FV-4-6483</t>
  </si>
  <si>
    <t>FV-4-6484</t>
  </si>
  <si>
    <t>FV-4-6537</t>
  </si>
  <si>
    <t>FV-4-6575</t>
  </si>
  <si>
    <t>FV-4-6576</t>
  </si>
  <si>
    <t>FV-4-6577</t>
  </si>
  <si>
    <t>FV-4-6620</t>
  </si>
  <si>
    <t>22/03/2026</t>
  </si>
  <si>
    <t>FV-4-6621</t>
  </si>
  <si>
    <t>FV-4-6622</t>
  </si>
  <si>
    <t>FV-4-6636</t>
  </si>
  <si>
    <t>FV-4-6707</t>
  </si>
  <si>
    <t>24/04/2026</t>
  </si>
  <si>
    <t>FV-4-6708</t>
  </si>
  <si>
    <t>FV-4-6709</t>
  </si>
  <si>
    <t>FV-4-6710</t>
  </si>
  <si>
    <t>Días</t>
  </si>
  <si>
    <t>%</t>
  </si>
  <si>
    <t>Total ACT&amp;J CONSULTORES ASOCIADOS SAS</t>
  </si>
  <si>
    <t>Total general</t>
  </si>
  <si>
    <t>Mayor 30 días Carte</t>
  </si>
  <si>
    <t>Mayor 30 días HL</t>
  </si>
  <si>
    <t>Otros cliente</t>
  </si>
  <si>
    <t>PM</t>
  </si>
  <si>
    <t>Rejimetal</t>
  </si>
  <si>
    <t>Dinterweb</t>
  </si>
  <si>
    <t>Sucursales PE</t>
  </si>
  <si>
    <t>Descontado PM-Rejime-Dinter-Sucursa</t>
  </si>
  <si>
    <t>Cartera Grupo HL Marzo</t>
  </si>
  <si>
    <t>Real</t>
  </si>
  <si>
    <t>Excluir</t>
  </si>
  <si>
    <t>Comprobación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</si>
</sst>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5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EE0000"/>
      <name val="Calibri"/>
      <family val="2"/>
    </font>
    <font>
      <b/>
      <sz val="11"/>
      <color rgb="FF0000CC"/>
      <name val="Calibri"/>
      <family val="2"/>
    </font>
    <font>
      <b/>
      <sz val="11"/>
      <color rgb="FF0000CC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0" fontId="0" fillId="3" borderId="0" xfId="0" applyFill="1"/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1" applyNumberFormat="1" applyFont="1" applyFill="1" applyAlignment="1">
      <alignment horizontal="left" vertical="center"/>
    </xf>
    <xf numFmtId="0" fontId="4" fillId="0" borderId="0" xfId="0" applyFont="1"/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1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left" vertical="center"/>
    </xf>
    <xf numFmtId="3" fontId="2" fillId="4" borderId="0" xfId="0" applyNumberFormat="1" applyFont="1" applyFill="1" applyAlignment="1">
      <alignment vertical="center"/>
    </xf>
    <xf numFmtId="0" fontId="0" fillId="4" borderId="0" xfId="0" applyFill="1"/>
    <xf numFmtId="49" fontId="2" fillId="5" borderId="0" xfId="0" applyNumberFormat="1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vertical="center"/>
    </xf>
    <xf numFmtId="0" fontId="0" fillId="5" borderId="0" xfId="0" applyFill="1"/>
    <xf numFmtId="49" fontId="2" fillId="6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3" fontId="2" fillId="6" borderId="0" xfId="0" applyNumberFormat="1" applyFont="1" applyFill="1" applyAlignment="1">
      <alignment vertical="center"/>
    </xf>
    <xf numFmtId="0" fontId="0" fillId="6" borderId="0" xfId="0" applyFill="1"/>
    <xf numFmtId="1" fontId="6" fillId="7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9" fontId="8" fillId="0" borderId="0" xfId="2" applyFont="1" applyAlignment="1">
      <alignment horizontal="center"/>
    </xf>
    <xf numFmtId="165" fontId="7" fillId="0" borderId="0" xfId="1" applyNumberFormat="1" applyFont="1" applyFill="1" applyAlignment="1">
      <alignment horizontal="left" vertical="center"/>
    </xf>
    <xf numFmtId="0" fontId="9" fillId="0" borderId="0" xfId="0" applyFont="1"/>
    <xf numFmtId="165" fontId="9" fillId="0" borderId="0" xfId="0" applyNumberFormat="1" applyFont="1"/>
    <xf numFmtId="10" fontId="1" fillId="0" borderId="0" xfId="2" applyNumberFormat="1" applyFont="1" applyFill="1" applyAlignment="1">
      <alignment vertical="center"/>
    </xf>
    <xf numFmtId="165" fontId="0" fillId="0" borderId="0" xfId="0" applyNumberFormat="1"/>
    <xf numFmtId="0" fontId="0" fillId="0" borderId="0" xfId="0" applyAlignment="1">
      <alignment horizontal="left" indent="1"/>
    </xf>
    <xf numFmtId="0" fontId="10" fillId="7" borderId="0" xfId="0" applyFont="1" applyFill="1"/>
    <xf numFmtId="9" fontId="0" fillId="0" borderId="0" xfId="2" applyFont="1"/>
    <xf numFmtId="165" fontId="0" fillId="3" borderId="0" xfId="0" applyNumberFormat="1" applyFill="1"/>
  </cellXfs>
  <cellStyles count="3">
    <cellStyle name="Moneda" xfId="1" builtinId="4"/>
    <cellStyle name="Normal" xfId="0" builtinId="0"/>
    <cellStyle name="Porcentaje" xfId="2" builtinId="5"/>
  </cellStyles>
  <dxfs count="1">
    <dxf>
      <fill>
        <patternFill patternType="solid">
          <fgColor rgb="FFE6B8B7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3"/>
  <sheetViews>
    <sheetView showGridLines="0" tabSelected="1" topLeftCell="G1" workbookViewId="0">
      <pane ySplit="1" topLeftCell="A2" activePane="bottomLeft" state="frozen"/>
      <selection pane="bottomLeft" activeCell="D13" sqref="D13"/>
    </sheetView>
  </sheetViews>
  <sheetFormatPr baseColWidth="10" defaultColWidth="9.109375" defaultRowHeight="14.4" outlineLevelRow="1" x14ac:dyDescent="0.3"/>
  <cols>
    <col min="1" max="1" width="14" bestFit="1" customWidth="1"/>
    <col min="2" max="2" width="17.88671875" bestFit="1" customWidth="1"/>
    <col min="3" max="3" width="4.6640625" bestFit="1" customWidth="1"/>
    <col min="4" max="4" width="65.44140625" customWidth="1"/>
    <col min="5" max="5" width="7.109375" bestFit="1" customWidth="1"/>
    <col min="6" max="11" width="30.6640625" bestFit="1" customWidth="1"/>
  </cols>
  <sheetData>
    <row r="1" spans="1:17" x14ac:dyDescent="0.3">
      <c r="A1" s="1" t="s">
        <v>1</v>
      </c>
      <c r="B1" s="1" t="s">
        <v>2</v>
      </c>
      <c r="C1" s="1" t="s">
        <v>63</v>
      </c>
      <c r="D1" s="1" t="s">
        <v>0</v>
      </c>
      <c r="E1" s="1" t="s">
        <v>64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7" outlineLevel="1" x14ac:dyDescent="0.3">
      <c r="A2" s="2" t="s">
        <v>10</v>
      </c>
      <c r="B2" s="3" t="s">
        <v>11</v>
      </c>
      <c r="C2" s="27">
        <f ca="1">TODAY()-B2</f>
        <v>188</v>
      </c>
      <c r="D2" s="11" t="s">
        <v>9</v>
      </c>
      <c r="E2" s="11"/>
      <c r="F2" s="11">
        <f>SUM(G2:K2)</f>
        <v>1549380</v>
      </c>
      <c r="G2" s="11">
        <v>0</v>
      </c>
      <c r="H2" s="11">
        <v>0</v>
      </c>
      <c r="I2" s="11">
        <v>0</v>
      </c>
      <c r="J2" s="11">
        <v>1549380</v>
      </c>
      <c r="K2" s="11">
        <v>0</v>
      </c>
    </row>
    <row r="3" spans="1:17" outlineLevel="1" x14ac:dyDescent="0.3">
      <c r="A3" s="2" t="s">
        <v>12</v>
      </c>
      <c r="B3" s="3" t="s">
        <v>13</v>
      </c>
      <c r="C3" s="27">
        <f t="shared" ref="C3:C5" ca="1" si="0">TODAY()-B3</f>
        <v>41</v>
      </c>
      <c r="D3" s="11" t="s">
        <v>9</v>
      </c>
      <c r="E3" s="11"/>
      <c r="F3" s="11">
        <f t="shared" ref="F3:F5" si="1">SUM(G3:K3)</f>
        <v>3831584.61</v>
      </c>
      <c r="G3" s="11">
        <v>0</v>
      </c>
      <c r="H3" s="11">
        <v>3831584.61</v>
      </c>
      <c r="I3" s="11">
        <v>0</v>
      </c>
      <c r="J3" s="11">
        <v>0</v>
      </c>
      <c r="K3" s="11">
        <v>0</v>
      </c>
    </row>
    <row r="4" spans="1:17" outlineLevel="1" x14ac:dyDescent="0.3">
      <c r="A4" s="2" t="s">
        <v>14</v>
      </c>
      <c r="B4" s="3" t="s">
        <v>15</v>
      </c>
      <c r="C4" s="3"/>
      <c r="D4" s="11" t="s">
        <v>9</v>
      </c>
      <c r="E4" s="11"/>
      <c r="F4" s="11">
        <f t="shared" si="1"/>
        <v>1523011.98</v>
      </c>
      <c r="G4" s="11">
        <v>0</v>
      </c>
      <c r="H4" s="11">
        <v>0</v>
      </c>
      <c r="I4" s="11">
        <v>0</v>
      </c>
      <c r="J4" s="11">
        <v>0</v>
      </c>
      <c r="K4" s="11">
        <v>1523011.98</v>
      </c>
    </row>
    <row r="5" spans="1:17" ht="14.25" customHeight="1" outlineLevel="1" x14ac:dyDescent="0.3">
      <c r="A5" s="2" t="s">
        <v>16</v>
      </c>
      <c r="B5" s="3" t="s">
        <v>17</v>
      </c>
      <c r="C5" s="27">
        <f t="shared" ca="1" si="0"/>
        <v>49</v>
      </c>
      <c r="D5" s="11" t="s">
        <v>9</v>
      </c>
      <c r="E5" s="11"/>
      <c r="F5" s="11">
        <f t="shared" si="1"/>
        <v>5280814</v>
      </c>
      <c r="G5" s="11">
        <v>0</v>
      </c>
      <c r="H5" s="11">
        <v>5280814</v>
      </c>
      <c r="I5" s="11">
        <v>0</v>
      </c>
      <c r="J5" s="11">
        <v>0</v>
      </c>
      <c r="K5" s="11">
        <v>0</v>
      </c>
    </row>
    <row r="6" spans="1:17" s="10" customFormat="1" x14ac:dyDescent="0.3">
      <c r="A6" s="7"/>
      <c r="B6" s="8"/>
      <c r="C6" s="8"/>
      <c r="D6" s="12" t="s">
        <v>65</v>
      </c>
      <c r="E6" s="33">
        <f>IF($F$7=0,0,F6/$F$7)</f>
        <v>1</v>
      </c>
      <c r="F6" s="13">
        <f>SUBTOTAL(9,F2:F5)</f>
        <v>12184790.59</v>
      </c>
      <c r="G6" s="13">
        <f t="shared" ref="G6:J6" si="2">SUBTOTAL(9,G2:G5)</f>
        <v>0</v>
      </c>
      <c r="H6" s="13">
        <f t="shared" si="2"/>
        <v>9112398.6099999994</v>
      </c>
      <c r="I6" s="13">
        <f t="shared" si="2"/>
        <v>0</v>
      </c>
      <c r="J6" s="13">
        <f t="shared" si="2"/>
        <v>1549380</v>
      </c>
      <c r="K6" s="13">
        <f>SUBTOTAL(9,K2:K5)</f>
        <v>1523011.98</v>
      </c>
      <c r="L6" s="9"/>
      <c r="M6" s="9"/>
      <c r="N6" s="9"/>
      <c r="O6" s="9"/>
      <c r="P6" s="9"/>
      <c r="Q6" s="9"/>
    </row>
    <row r="7" spans="1:17" x14ac:dyDescent="0.3">
      <c r="D7" s="28" t="s">
        <v>66</v>
      </c>
      <c r="E7" s="29">
        <f>SUM(E2:E6)</f>
        <v>1</v>
      </c>
      <c r="F7" s="30">
        <f>SUBTOTAL(9,F2:F6)</f>
        <v>12184790.59</v>
      </c>
      <c r="G7" s="30">
        <f>SUBTOTAL(9,G2:G6)</f>
        <v>0</v>
      </c>
      <c r="H7" s="30">
        <f>SUBTOTAL(9,H2:H6)</f>
        <v>9112398.6099999994</v>
      </c>
      <c r="I7" s="30">
        <f>SUBTOTAL(9,I2:I6)</f>
        <v>0</v>
      </c>
      <c r="J7" s="30">
        <f>SUBTOTAL(9,J2:J6)</f>
        <v>1549380</v>
      </c>
      <c r="K7" s="30">
        <f>SUBTOTAL(9,K2:K6)</f>
        <v>1523011.98</v>
      </c>
    </row>
    <row r="8" spans="1:17" x14ac:dyDescent="0.3">
      <c r="D8" s="31" t="s">
        <v>75</v>
      </c>
      <c r="F8" s="32" t="e">
        <f>#REF!+#REF!+#REF!+#REF!+#REF!+#REF!</f>
        <v>#REF!</v>
      </c>
      <c r="G8" s="32" t="e">
        <f>#REF!+#REF!+#REF!+#REF!+#REF!+#REF!</f>
        <v>#REF!</v>
      </c>
      <c r="H8" s="32" t="e">
        <f>#REF!+#REF!+#REF!+#REF!+#REF!+#REF!</f>
        <v>#REF!</v>
      </c>
      <c r="I8" s="32" t="e">
        <f>#REF!+#REF!+#REF!+#REF!+#REF!+#REF!</f>
        <v>#REF!</v>
      </c>
      <c r="J8" s="32" t="e">
        <f>#REF!+#REF!+#REF!+#REF!+#REF!+#REF!</f>
        <v>#REF!</v>
      </c>
      <c r="K8" s="32" t="e">
        <f>#REF!+#REF!+#REF!+#REF!+#REF!+#REF!</f>
        <v>#REF!</v>
      </c>
    </row>
    <row r="9" spans="1:17" x14ac:dyDescent="0.3">
      <c r="F9" t="s">
        <v>67</v>
      </c>
      <c r="G9" s="34">
        <f>H7+I7+J7</f>
        <v>10661778.609999999</v>
      </c>
    </row>
    <row r="10" spans="1:17" x14ac:dyDescent="0.3">
      <c r="E10" s="37" t="e">
        <f>IF($G$9=0,0,G10/$G$9)</f>
        <v>#REF!</v>
      </c>
      <c r="F10" t="s">
        <v>68</v>
      </c>
      <c r="G10" s="34" t="e">
        <f>H8+I8+J8</f>
        <v>#REF!</v>
      </c>
    </row>
    <row r="13" spans="1:17" x14ac:dyDescent="0.3">
      <c r="F13" s="35" t="s">
        <v>69</v>
      </c>
      <c r="G13" s="34" t="e">
        <f>G9-G10</f>
        <v>#REF!</v>
      </c>
    </row>
    <row r="14" spans="1:17" x14ac:dyDescent="0.3">
      <c r="E14" s="37" t="e">
        <f>IF($G$13=0,0,G14/$G$13)</f>
        <v>#REF!</v>
      </c>
      <c r="F14" s="35" t="s">
        <v>70</v>
      </c>
      <c r="G14" s="34" t="e">
        <f>#REF!+#REF!+#REF!</f>
        <v>#REF!</v>
      </c>
    </row>
    <row r="15" spans="1:17" x14ac:dyDescent="0.3">
      <c r="E15" s="37" t="e">
        <f t="shared" ref="E15:E18" si="3">IF($G$13=0,0,G15/$G$13)</f>
        <v>#REF!</v>
      </c>
      <c r="F15" s="35" t="s">
        <v>71</v>
      </c>
      <c r="G15" s="38" t="e">
        <f>#REF!+#REF!+#REF!</f>
        <v>#REF!</v>
      </c>
    </row>
    <row r="16" spans="1:17" x14ac:dyDescent="0.3">
      <c r="E16" s="37" t="e">
        <f t="shared" si="3"/>
        <v>#REF!</v>
      </c>
      <c r="F16" s="35" t="s">
        <v>72</v>
      </c>
      <c r="G16" s="38" t="e">
        <f>#REF!+#REF!+#REF!</f>
        <v>#REF!</v>
      </c>
    </row>
    <row r="17" spans="5:7" x14ac:dyDescent="0.3">
      <c r="E17" s="37" t="e">
        <f t="shared" si="3"/>
        <v>#REF!</v>
      </c>
      <c r="F17" s="35" t="s">
        <v>73</v>
      </c>
      <c r="G17" s="34" t="e">
        <f>(#REF!+#REF!+#REF!)</f>
        <v>#REF!</v>
      </c>
    </row>
    <row r="18" spans="5:7" x14ac:dyDescent="0.3">
      <c r="E18" s="37" t="e">
        <f t="shared" si="3"/>
        <v>#REF!</v>
      </c>
      <c r="F18" s="36" t="s">
        <v>74</v>
      </c>
      <c r="G18" s="34" t="e">
        <f>G13-SUM(G14:G17)</f>
        <v>#REF!</v>
      </c>
    </row>
    <row r="21" spans="5:7" x14ac:dyDescent="0.3">
      <c r="F21" t="s">
        <v>76</v>
      </c>
      <c r="G21" s="34" t="e">
        <f>G10+G18</f>
        <v>#REF!</v>
      </c>
    </row>
    <row r="22" spans="5:7" x14ac:dyDescent="0.3">
      <c r="F22" t="s">
        <v>77</v>
      </c>
      <c r="G22" s="34" t="e">
        <f>SUM(G14:G17)</f>
        <v>#REF!</v>
      </c>
    </row>
    <row r="23" spans="5:7" x14ac:dyDescent="0.3">
      <c r="F23" t="s">
        <v>78</v>
      </c>
      <c r="G23" s="34" t="e">
        <f>SUM(G21:G22)</f>
        <v>#REF!</v>
      </c>
    </row>
  </sheetData>
  <autoFilter ref="A1:Q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0593-5A6B-4431-9960-1D241A44CF42}">
  <sheetPr filterMode="1"/>
  <dimension ref="A1:K31"/>
  <sheetViews>
    <sheetView workbookViewId="0">
      <selection activeCell="A4" sqref="A4:K4 A6:K6 A11:K11 A13:K13 A17:K17 A21:K21 A24:K24 A28:K28"/>
    </sheetView>
  </sheetViews>
  <sheetFormatPr baseColWidth="10" defaultRowHeight="14.4" x14ac:dyDescent="0.3"/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s="18" customFormat="1" ht="15.75" hidden="1" customHeight="1" x14ac:dyDescent="0.3">
      <c r="A2" s="15" t="s">
        <v>26</v>
      </c>
      <c r="B2" s="16" t="s">
        <v>27</v>
      </c>
      <c r="C2" s="16"/>
      <c r="D2" s="17" t="s">
        <v>25</v>
      </c>
      <c r="E2" s="17"/>
      <c r="F2" s="17">
        <f t="shared" ref="F2:F31" si="0">SUM(G2:K2)</f>
        <v>2202282</v>
      </c>
      <c r="G2" s="17">
        <v>0</v>
      </c>
      <c r="H2" s="17">
        <v>0</v>
      </c>
      <c r="I2" s="17">
        <v>0</v>
      </c>
      <c r="J2" s="17">
        <v>2202282</v>
      </c>
      <c r="K2" s="17">
        <v>0</v>
      </c>
    </row>
    <row r="3" spans="1:11" s="6" customFormat="1" hidden="1" x14ac:dyDescent="0.3">
      <c r="A3" s="4" t="s">
        <v>28</v>
      </c>
      <c r="B3" s="5" t="s">
        <v>29</v>
      </c>
      <c r="C3" s="5"/>
      <c r="D3" s="14" t="s">
        <v>25</v>
      </c>
      <c r="E3" s="14"/>
      <c r="F3" s="14">
        <f t="shared" si="0"/>
        <v>4037517</v>
      </c>
      <c r="G3" s="14">
        <v>0</v>
      </c>
      <c r="H3" s="14">
        <v>0</v>
      </c>
      <c r="I3" s="14">
        <v>0</v>
      </c>
      <c r="J3" s="14">
        <v>4037517</v>
      </c>
      <c r="K3" s="14">
        <v>0</v>
      </c>
    </row>
    <row r="4" spans="1:11" s="26" customFormat="1" x14ac:dyDescent="0.3">
      <c r="A4" s="23" t="s">
        <v>30</v>
      </c>
      <c r="B4" s="24" t="s">
        <v>27</v>
      </c>
      <c r="C4" s="24"/>
      <c r="D4" s="25" t="s">
        <v>25</v>
      </c>
      <c r="E4" s="25"/>
      <c r="F4" s="25">
        <f t="shared" si="0"/>
        <v>12406188.6</v>
      </c>
      <c r="G4" s="25">
        <v>0</v>
      </c>
      <c r="H4" s="25">
        <v>0</v>
      </c>
      <c r="I4" s="25">
        <v>0</v>
      </c>
      <c r="J4" s="25">
        <v>12406188.6</v>
      </c>
      <c r="K4" s="25">
        <v>0</v>
      </c>
    </row>
    <row r="5" spans="1:11" s="22" customFormat="1" hidden="1" x14ac:dyDescent="0.3">
      <c r="A5" s="19" t="s">
        <v>31</v>
      </c>
      <c r="B5" s="20" t="s">
        <v>32</v>
      </c>
      <c r="C5" s="20"/>
      <c r="D5" s="21" t="s">
        <v>25</v>
      </c>
      <c r="E5" s="21"/>
      <c r="F5" s="21">
        <f t="shared" si="0"/>
        <v>7924985.1900000004</v>
      </c>
      <c r="G5" s="21">
        <v>0</v>
      </c>
      <c r="H5" s="21">
        <v>0</v>
      </c>
      <c r="I5" s="21">
        <v>0</v>
      </c>
      <c r="J5" s="21">
        <v>7924985.1900000004</v>
      </c>
      <c r="K5" s="21">
        <v>0</v>
      </c>
    </row>
    <row r="6" spans="1:11" s="26" customFormat="1" x14ac:dyDescent="0.3">
      <c r="A6" s="23" t="s">
        <v>33</v>
      </c>
      <c r="B6" s="24" t="s">
        <v>21</v>
      </c>
      <c r="C6" s="24"/>
      <c r="D6" s="25" t="s">
        <v>25</v>
      </c>
      <c r="E6" s="25"/>
      <c r="F6" s="25">
        <f t="shared" si="0"/>
        <v>2995103.52</v>
      </c>
      <c r="G6" s="25">
        <v>0</v>
      </c>
      <c r="H6" s="25">
        <v>0</v>
      </c>
      <c r="I6" s="25">
        <v>0</v>
      </c>
      <c r="J6" s="25">
        <v>2995103.52</v>
      </c>
      <c r="K6" s="25">
        <v>0</v>
      </c>
    </row>
    <row r="7" spans="1:11" s="18" customFormat="1" hidden="1" x14ac:dyDescent="0.3">
      <c r="A7" s="15" t="s">
        <v>34</v>
      </c>
      <c r="B7" s="16" t="s">
        <v>21</v>
      </c>
      <c r="C7" s="16"/>
      <c r="D7" s="17" t="s">
        <v>25</v>
      </c>
      <c r="E7" s="17"/>
      <c r="F7" s="17">
        <f t="shared" si="0"/>
        <v>2862966.6</v>
      </c>
      <c r="G7" s="17">
        <v>0</v>
      </c>
      <c r="H7" s="17">
        <v>0</v>
      </c>
      <c r="I7" s="17">
        <v>0</v>
      </c>
      <c r="J7" s="17">
        <v>2862966.6</v>
      </c>
      <c r="K7" s="17">
        <v>0</v>
      </c>
    </row>
    <row r="8" spans="1:11" s="6" customFormat="1" hidden="1" x14ac:dyDescent="0.3">
      <c r="A8" s="4" t="s">
        <v>35</v>
      </c>
      <c r="B8" s="5" t="s">
        <v>21</v>
      </c>
      <c r="C8" s="5"/>
      <c r="D8" s="14" t="s">
        <v>25</v>
      </c>
      <c r="E8" s="14"/>
      <c r="F8" s="14">
        <f t="shared" si="0"/>
        <v>2862966.6</v>
      </c>
      <c r="G8" s="14">
        <v>0</v>
      </c>
      <c r="H8" s="14">
        <v>0</v>
      </c>
      <c r="I8" s="14">
        <v>0</v>
      </c>
      <c r="J8" s="14">
        <v>2862966.6</v>
      </c>
      <c r="K8" s="14">
        <v>0</v>
      </c>
    </row>
    <row r="9" spans="1:11" s="22" customFormat="1" hidden="1" x14ac:dyDescent="0.3">
      <c r="A9" s="19" t="s">
        <v>36</v>
      </c>
      <c r="B9" s="20" t="s">
        <v>37</v>
      </c>
      <c r="C9" s="20"/>
      <c r="D9" s="21" t="s">
        <v>25</v>
      </c>
      <c r="E9" s="21"/>
      <c r="F9" s="21">
        <f t="shared" si="0"/>
        <v>29810.39</v>
      </c>
      <c r="G9" s="21">
        <v>0</v>
      </c>
      <c r="H9" s="21">
        <v>0</v>
      </c>
      <c r="I9" s="21">
        <v>29810.39</v>
      </c>
      <c r="J9" s="21">
        <v>0</v>
      </c>
      <c r="K9" s="21">
        <v>0</v>
      </c>
    </row>
    <row r="10" spans="1:11" s="6" customFormat="1" hidden="1" x14ac:dyDescent="0.3">
      <c r="A10" s="4" t="s">
        <v>38</v>
      </c>
      <c r="B10" s="5" t="s">
        <v>24</v>
      </c>
      <c r="C10" s="5"/>
      <c r="D10" s="14" t="s">
        <v>25</v>
      </c>
      <c r="E10" s="14"/>
      <c r="F10" s="14">
        <f t="shared" si="0"/>
        <v>30153.599999999999</v>
      </c>
      <c r="G10" s="14">
        <v>0</v>
      </c>
      <c r="H10" s="14">
        <v>0</v>
      </c>
      <c r="I10" s="14">
        <v>30153.599999999999</v>
      </c>
      <c r="J10" s="14">
        <v>0</v>
      </c>
      <c r="K10" s="14">
        <v>0</v>
      </c>
    </row>
    <row r="11" spans="1:11" s="26" customFormat="1" x14ac:dyDescent="0.3">
      <c r="A11" s="23" t="s">
        <v>39</v>
      </c>
      <c r="B11" s="24" t="s">
        <v>19</v>
      </c>
      <c r="C11" s="24"/>
      <c r="D11" s="25" t="s">
        <v>25</v>
      </c>
      <c r="E11" s="25"/>
      <c r="F11" s="25">
        <f t="shared" si="0"/>
        <v>20306.560000000001</v>
      </c>
      <c r="G11" s="25">
        <v>0</v>
      </c>
      <c r="H11" s="25">
        <v>0</v>
      </c>
      <c r="I11" s="25">
        <v>0</v>
      </c>
      <c r="J11" s="25">
        <v>20306.560000000001</v>
      </c>
      <c r="K11" s="25">
        <v>0</v>
      </c>
    </row>
    <row r="12" spans="1:11" s="18" customFormat="1" hidden="1" x14ac:dyDescent="0.3">
      <c r="A12" s="15" t="s">
        <v>40</v>
      </c>
      <c r="B12" s="16" t="s">
        <v>19</v>
      </c>
      <c r="C12" s="16"/>
      <c r="D12" s="17" t="s">
        <v>25</v>
      </c>
      <c r="E12" s="17"/>
      <c r="F12" s="17">
        <f t="shared" si="0"/>
        <v>11896.96</v>
      </c>
      <c r="G12" s="17">
        <v>0</v>
      </c>
      <c r="H12" s="17">
        <v>0</v>
      </c>
      <c r="I12" s="17">
        <v>0</v>
      </c>
      <c r="J12" s="17">
        <v>11896.96</v>
      </c>
      <c r="K12" s="17">
        <v>0</v>
      </c>
    </row>
    <row r="13" spans="1:11" s="26" customFormat="1" x14ac:dyDescent="0.3">
      <c r="A13" s="23" t="s">
        <v>41</v>
      </c>
      <c r="B13" s="24" t="s">
        <v>21</v>
      </c>
      <c r="C13" s="24"/>
      <c r="D13" s="25" t="s">
        <v>25</v>
      </c>
      <c r="E13" s="25"/>
      <c r="F13" s="25">
        <f t="shared" si="0"/>
        <v>3670470</v>
      </c>
      <c r="G13" s="25">
        <v>0</v>
      </c>
      <c r="H13" s="25">
        <v>0</v>
      </c>
      <c r="I13" s="25">
        <v>0</v>
      </c>
      <c r="J13" s="25">
        <v>3670470</v>
      </c>
      <c r="K13" s="25">
        <v>0</v>
      </c>
    </row>
    <row r="14" spans="1:11" s="18" customFormat="1" hidden="1" x14ac:dyDescent="0.3">
      <c r="A14" s="15" t="s">
        <v>42</v>
      </c>
      <c r="B14" s="16" t="s">
        <v>21</v>
      </c>
      <c r="C14" s="16"/>
      <c r="D14" s="17" t="s">
        <v>25</v>
      </c>
      <c r="E14" s="17"/>
      <c r="F14" s="17">
        <f t="shared" si="0"/>
        <v>3670470</v>
      </c>
      <c r="G14" s="17">
        <v>0</v>
      </c>
      <c r="H14" s="17">
        <v>0</v>
      </c>
      <c r="I14" s="17">
        <v>0</v>
      </c>
      <c r="J14" s="17">
        <v>3670470</v>
      </c>
      <c r="K14" s="17">
        <v>0</v>
      </c>
    </row>
    <row r="15" spans="1:11" s="6" customFormat="1" hidden="1" x14ac:dyDescent="0.3">
      <c r="A15" s="4" t="s">
        <v>43</v>
      </c>
      <c r="B15" s="5" t="s">
        <v>21</v>
      </c>
      <c r="C15" s="5"/>
      <c r="D15" s="14" t="s">
        <v>25</v>
      </c>
      <c r="E15" s="14"/>
      <c r="F15" s="14">
        <f t="shared" si="0"/>
        <v>5505705</v>
      </c>
      <c r="G15" s="14">
        <v>0</v>
      </c>
      <c r="H15" s="14">
        <v>0</v>
      </c>
      <c r="I15" s="14">
        <v>0</v>
      </c>
      <c r="J15" s="14">
        <v>5505705</v>
      </c>
      <c r="K15" s="14">
        <v>0</v>
      </c>
    </row>
    <row r="16" spans="1:11" s="22" customFormat="1" hidden="1" x14ac:dyDescent="0.3">
      <c r="A16" s="19" t="s">
        <v>44</v>
      </c>
      <c r="B16" s="20" t="s">
        <v>45</v>
      </c>
      <c r="C16" s="20"/>
      <c r="D16" s="21" t="s">
        <v>25</v>
      </c>
      <c r="E16" s="21"/>
      <c r="F16" s="21">
        <f t="shared" si="0"/>
        <v>10255293.18</v>
      </c>
      <c r="G16" s="21">
        <v>0</v>
      </c>
      <c r="H16" s="21">
        <v>10255293.18</v>
      </c>
      <c r="I16" s="21">
        <v>0</v>
      </c>
      <c r="J16" s="21">
        <v>0</v>
      </c>
      <c r="K16" s="21">
        <v>0</v>
      </c>
    </row>
    <row r="17" spans="1:11" s="26" customFormat="1" x14ac:dyDescent="0.3">
      <c r="A17" s="23" t="s">
        <v>46</v>
      </c>
      <c r="B17" s="24" t="s">
        <v>20</v>
      </c>
      <c r="C17" s="24"/>
      <c r="D17" s="25" t="s">
        <v>25</v>
      </c>
      <c r="E17" s="25"/>
      <c r="F17" s="25">
        <f t="shared" si="0"/>
        <v>37647.29</v>
      </c>
      <c r="G17" s="25">
        <v>0</v>
      </c>
      <c r="H17" s="25">
        <v>37647.29</v>
      </c>
      <c r="I17" s="25">
        <v>0</v>
      </c>
      <c r="J17" s="25">
        <v>0</v>
      </c>
      <c r="K17" s="25">
        <v>0</v>
      </c>
    </row>
    <row r="18" spans="1:11" s="18" customFormat="1" hidden="1" x14ac:dyDescent="0.3">
      <c r="A18" s="15" t="s">
        <v>47</v>
      </c>
      <c r="B18" s="16" t="s">
        <v>20</v>
      </c>
      <c r="C18" s="16"/>
      <c r="D18" s="17" t="s">
        <v>25</v>
      </c>
      <c r="E18" s="17"/>
      <c r="F18" s="17">
        <f t="shared" si="0"/>
        <v>12986.46</v>
      </c>
      <c r="G18" s="17">
        <v>0</v>
      </c>
      <c r="H18" s="17">
        <v>12986.46</v>
      </c>
      <c r="I18" s="17">
        <v>0</v>
      </c>
      <c r="J18" s="17">
        <v>0</v>
      </c>
      <c r="K18" s="17">
        <v>0</v>
      </c>
    </row>
    <row r="19" spans="1:11" s="6" customFormat="1" hidden="1" x14ac:dyDescent="0.3">
      <c r="A19" s="4" t="s">
        <v>48</v>
      </c>
      <c r="B19" s="5" t="s">
        <v>20</v>
      </c>
      <c r="C19" s="5"/>
      <c r="D19" s="14" t="s">
        <v>25</v>
      </c>
      <c r="E19" s="14"/>
      <c r="F19" s="14">
        <f t="shared" si="0"/>
        <v>23871.599999999999</v>
      </c>
      <c r="G19" s="14">
        <v>0</v>
      </c>
      <c r="H19" s="14">
        <v>23871.599999999999</v>
      </c>
      <c r="I19" s="14">
        <v>0</v>
      </c>
      <c r="J19" s="14">
        <v>0</v>
      </c>
      <c r="K19" s="14">
        <v>0</v>
      </c>
    </row>
    <row r="20" spans="1:11" s="22" customFormat="1" hidden="1" x14ac:dyDescent="0.3">
      <c r="A20" s="19" t="s">
        <v>49</v>
      </c>
      <c r="B20" s="20" t="s">
        <v>18</v>
      </c>
      <c r="C20" s="20"/>
      <c r="D20" s="21" t="s">
        <v>25</v>
      </c>
      <c r="E20" s="21"/>
      <c r="F20" s="21">
        <f t="shared" si="0"/>
        <v>11349753.92</v>
      </c>
      <c r="G20" s="21">
        <v>11349753.92</v>
      </c>
      <c r="H20" s="21">
        <v>0</v>
      </c>
      <c r="I20" s="21">
        <v>0</v>
      </c>
      <c r="J20" s="21">
        <v>0</v>
      </c>
      <c r="K20" s="21">
        <v>0</v>
      </c>
    </row>
    <row r="21" spans="1:11" s="26" customFormat="1" x14ac:dyDescent="0.3">
      <c r="A21" s="23" t="s">
        <v>50</v>
      </c>
      <c r="B21" s="24" t="s">
        <v>23</v>
      </c>
      <c r="C21" s="24"/>
      <c r="D21" s="25" t="s">
        <v>25</v>
      </c>
      <c r="E21" s="25"/>
      <c r="F21" s="25">
        <f t="shared" si="0"/>
        <v>7228807.1399999997</v>
      </c>
      <c r="G21" s="25">
        <v>7228807.1399999997</v>
      </c>
      <c r="H21" s="25">
        <v>0</v>
      </c>
      <c r="I21" s="25">
        <v>0</v>
      </c>
      <c r="J21" s="25">
        <v>0</v>
      </c>
      <c r="K21" s="25">
        <v>0</v>
      </c>
    </row>
    <row r="22" spans="1:11" s="18" customFormat="1" hidden="1" x14ac:dyDescent="0.3">
      <c r="A22" s="15" t="s">
        <v>51</v>
      </c>
      <c r="B22" s="16" t="s">
        <v>23</v>
      </c>
      <c r="C22" s="16"/>
      <c r="D22" s="17" t="s">
        <v>25</v>
      </c>
      <c r="E22" s="17"/>
      <c r="F22" s="17">
        <f t="shared" si="0"/>
        <v>5591520.5899999999</v>
      </c>
      <c r="G22" s="17">
        <v>5591520.5899999999</v>
      </c>
      <c r="H22" s="17">
        <v>0</v>
      </c>
      <c r="I22" s="17">
        <v>0</v>
      </c>
      <c r="J22" s="17">
        <v>0</v>
      </c>
      <c r="K22" s="17">
        <v>0</v>
      </c>
    </row>
    <row r="23" spans="1:11" s="6" customFormat="1" hidden="1" x14ac:dyDescent="0.3">
      <c r="A23" s="4" t="s">
        <v>52</v>
      </c>
      <c r="B23" s="5" t="s">
        <v>23</v>
      </c>
      <c r="C23" s="5"/>
      <c r="D23" s="14" t="s">
        <v>25</v>
      </c>
      <c r="E23" s="14"/>
      <c r="F23" s="14">
        <f t="shared" si="0"/>
        <v>8368671.5999999996</v>
      </c>
      <c r="G23" s="14">
        <v>8368671.5999999996</v>
      </c>
      <c r="H23" s="14">
        <v>0</v>
      </c>
      <c r="I23" s="14">
        <v>0</v>
      </c>
      <c r="J23" s="14">
        <v>0</v>
      </c>
      <c r="K23" s="14">
        <v>0</v>
      </c>
    </row>
    <row r="24" spans="1:11" s="26" customFormat="1" x14ac:dyDescent="0.3">
      <c r="A24" s="23" t="s">
        <v>53</v>
      </c>
      <c r="B24" s="24" t="s">
        <v>54</v>
      </c>
      <c r="C24" s="24"/>
      <c r="D24" s="25" t="s">
        <v>25</v>
      </c>
      <c r="E24" s="25"/>
      <c r="F24" s="25">
        <f t="shared" si="0"/>
        <v>7353493.0099999998</v>
      </c>
      <c r="G24" s="25">
        <v>0</v>
      </c>
      <c r="H24" s="25">
        <v>0</v>
      </c>
      <c r="I24" s="25">
        <v>0</v>
      </c>
      <c r="J24" s="25">
        <v>0</v>
      </c>
      <c r="K24" s="25">
        <v>7353493.0099999998</v>
      </c>
    </row>
    <row r="25" spans="1:11" s="18" customFormat="1" hidden="1" x14ac:dyDescent="0.3">
      <c r="A25" s="15" t="s">
        <v>55</v>
      </c>
      <c r="B25" s="16" t="s">
        <v>54</v>
      </c>
      <c r="C25" s="16"/>
      <c r="D25" s="17" t="s">
        <v>25</v>
      </c>
      <c r="E25" s="17"/>
      <c r="F25" s="17">
        <f t="shared" si="0"/>
        <v>3181343.17</v>
      </c>
      <c r="G25" s="17">
        <v>0</v>
      </c>
      <c r="H25" s="17">
        <v>0</v>
      </c>
      <c r="I25" s="17">
        <v>0</v>
      </c>
      <c r="J25" s="17">
        <v>0</v>
      </c>
      <c r="K25" s="17">
        <v>3181343.17</v>
      </c>
    </row>
    <row r="26" spans="1:11" s="6" customFormat="1" hidden="1" x14ac:dyDescent="0.3">
      <c r="A26" s="4" t="s">
        <v>56</v>
      </c>
      <c r="B26" s="5" t="s">
        <v>54</v>
      </c>
      <c r="C26" s="5"/>
      <c r="D26" s="14" t="s">
        <v>25</v>
      </c>
      <c r="E26" s="14"/>
      <c r="F26" s="14">
        <f t="shared" si="0"/>
        <v>8368671.5999999996</v>
      </c>
      <c r="G26" s="14">
        <v>0</v>
      </c>
      <c r="H26" s="14">
        <v>0</v>
      </c>
      <c r="I26" s="14">
        <v>0</v>
      </c>
      <c r="J26" s="14">
        <v>0</v>
      </c>
      <c r="K26" s="14">
        <v>8368671.5999999996</v>
      </c>
    </row>
    <row r="27" spans="1:11" s="22" customFormat="1" hidden="1" x14ac:dyDescent="0.3">
      <c r="A27" s="19" t="s">
        <v>57</v>
      </c>
      <c r="B27" s="20" t="s">
        <v>22</v>
      </c>
      <c r="C27" s="20"/>
      <c r="D27" s="21" t="s">
        <v>25</v>
      </c>
      <c r="E27" s="21"/>
      <c r="F27" s="21">
        <f t="shared" si="0"/>
        <v>9956700.4499999993</v>
      </c>
      <c r="G27" s="21">
        <v>0</v>
      </c>
      <c r="H27" s="21">
        <v>0</v>
      </c>
      <c r="I27" s="21">
        <v>0</v>
      </c>
      <c r="J27" s="21">
        <v>0</v>
      </c>
      <c r="K27" s="21">
        <v>9956700.4499999993</v>
      </c>
    </row>
    <row r="28" spans="1:11" s="26" customFormat="1" x14ac:dyDescent="0.3">
      <c r="A28" s="23" t="s">
        <v>58</v>
      </c>
      <c r="B28" s="24" t="s">
        <v>59</v>
      </c>
      <c r="C28" s="24"/>
      <c r="D28" s="25" t="s">
        <v>25</v>
      </c>
      <c r="E28" s="25"/>
      <c r="F28" s="25">
        <f t="shared" si="0"/>
        <v>7588804.4299999997</v>
      </c>
      <c r="G28" s="25">
        <v>0</v>
      </c>
      <c r="H28" s="25">
        <v>0</v>
      </c>
      <c r="I28" s="25">
        <v>0</v>
      </c>
      <c r="J28" s="25">
        <v>0</v>
      </c>
      <c r="K28" s="25">
        <v>7588804.4299999997</v>
      </c>
    </row>
    <row r="29" spans="1:11" s="18" customFormat="1" hidden="1" x14ac:dyDescent="0.3">
      <c r="A29" s="15" t="s">
        <v>60</v>
      </c>
      <c r="B29" s="16" t="s">
        <v>59</v>
      </c>
      <c r="C29" s="16"/>
      <c r="D29" s="17" t="s">
        <v>25</v>
      </c>
      <c r="E29" s="17"/>
      <c r="F29" s="17">
        <f t="shared" si="0"/>
        <v>7588730.5999999996</v>
      </c>
      <c r="G29" s="17">
        <v>0</v>
      </c>
      <c r="H29" s="17">
        <v>0</v>
      </c>
      <c r="I29" s="17">
        <v>0</v>
      </c>
      <c r="J29" s="17">
        <v>0</v>
      </c>
      <c r="K29" s="17">
        <v>7588730.5999999996</v>
      </c>
    </row>
    <row r="30" spans="1:11" s="6" customFormat="1" hidden="1" x14ac:dyDescent="0.3">
      <c r="A30" s="4" t="s">
        <v>61</v>
      </c>
      <c r="B30" s="5" t="s">
        <v>59</v>
      </c>
      <c r="C30" s="5"/>
      <c r="D30" s="14" t="s">
        <v>25</v>
      </c>
      <c r="E30" s="14"/>
      <c r="F30" s="14">
        <f t="shared" si="0"/>
        <v>8416255.1999999993</v>
      </c>
      <c r="G30" s="14">
        <v>0</v>
      </c>
      <c r="H30" s="14">
        <v>0</v>
      </c>
      <c r="I30" s="14">
        <v>0</v>
      </c>
      <c r="J30" s="14">
        <v>0</v>
      </c>
      <c r="K30" s="14">
        <v>8416255.1999999993</v>
      </c>
    </row>
    <row r="31" spans="1:11" s="22" customFormat="1" hidden="1" x14ac:dyDescent="0.3">
      <c r="A31" s="19" t="s">
        <v>62</v>
      </c>
      <c r="B31" s="20" t="s">
        <v>59</v>
      </c>
      <c r="C31" s="20"/>
      <c r="D31" s="21" t="s">
        <v>25</v>
      </c>
      <c r="E31" s="21"/>
      <c r="F31" s="21">
        <f t="shared" si="0"/>
        <v>10013313.449999999</v>
      </c>
      <c r="G31" s="21">
        <v>0</v>
      </c>
      <c r="H31" s="21">
        <v>0</v>
      </c>
      <c r="I31" s="21">
        <v>0</v>
      </c>
      <c r="J31" s="21">
        <v>0</v>
      </c>
      <c r="K31" s="21">
        <v>10013313.449999999</v>
      </c>
    </row>
  </sheetData>
  <autoFilter ref="A1:Q31" xr:uid="{4B680593-5A6B-4431-9960-1D241A44CF42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Parada</cp:lastModifiedBy>
  <dcterms:created xsi:type="dcterms:W3CDTF">2026-03-05T17:24:49Z</dcterms:created>
  <dcterms:modified xsi:type="dcterms:W3CDTF">2026-03-11T22:13:54Z</dcterms:modified>
</cp:coreProperties>
</file>